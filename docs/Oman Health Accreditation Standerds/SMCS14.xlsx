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AMEH\Downloads\"/>
    </mc:Choice>
  </mc:AlternateContent>
  <bookViews>
    <workbookView xWindow="0" yWindow="0" windowWidth="23040" windowHeight="8784"/>
  </bookViews>
  <sheets>
    <sheet name="SMCS14" sheetId="1" r:id="rId1"/>
  </sheets>
  <definedNames>
    <definedName name="_xlnm.Print_Area" localSheetId="0">SMCS14!$A$1:$F$36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3" i="1" l="1"/>
  <c r="AC33" i="1"/>
  <c r="AB33" i="1"/>
  <c r="AA33" i="1"/>
  <c r="AD32" i="1"/>
  <c r="AC32" i="1"/>
  <c r="AB32" i="1"/>
  <c r="AA32" i="1"/>
  <c r="AD31" i="1"/>
  <c r="AC31" i="1"/>
  <c r="AB31" i="1"/>
  <c r="AA31" i="1"/>
  <c r="AD30" i="1"/>
  <c r="AC30" i="1"/>
  <c r="AB30" i="1"/>
  <c r="AA30" i="1"/>
  <c r="AF29" i="1" s="1"/>
  <c r="AD28" i="1"/>
  <c r="AC28" i="1"/>
  <c r="AB28" i="1"/>
  <c r="AA28" i="1"/>
  <c r="AD27" i="1"/>
  <c r="AF18" i="1" s="1"/>
  <c r="AC27" i="1"/>
  <c r="AB27" i="1"/>
  <c r="AA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3" i="1"/>
  <c r="AC23" i="1"/>
  <c r="AB23" i="1"/>
  <c r="AA23" i="1"/>
  <c r="AD22" i="1"/>
  <c r="AC22" i="1"/>
  <c r="AB22" i="1"/>
  <c r="AA22" i="1"/>
  <c r="AD21" i="1"/>
  <c r="AC21" i="1"/>
  <c r="AB21" i="1"/>
  <c r="AA21" i="1"/>
  <c r="AD19" i="1"/>
  <c r="AC19" i="1"/>
  <c r="AB19" i="1"/>
  <c r="AA19" i="1"/>
  <c r="AE18" i="1" s="1"/>
  <c r="E18" i="1" s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D14" i="1"/>
  <c r="AC14" i="1"/>
  <c r="AB14" i="1"/>
  <c r="AA14" i="1"/>
  <c r="AD13" i="1"/>
  <c r="AC13" i="1"/>
  <c r="AB13" i="1"/>
  <c r="AA13" i="1"/>
  <c r="AD12" i="1"/>
  <c r="AC12" i="1"/>
  <c r="AB12" i="1"/>
  <c r="AA12" i="1"/>
  <c r="AD11" i="1"/>
  <c r="AC11" i="1"/>
  <c r="AB11" i="1"/>
  <c r="AA11" i="1"/>
  <c r="AD10" i="1"/>
  <c r="AC10" i="1"/>
  <c r="AB10" i="1"/>
  <c r="AA10" i="1"/>
  <c r="AD9" i="1"/>
  <c r="AC9" i="1"/>
  <c r="AB9" i="1"/>
  <c r="AA9" i="1"/>
  <c r="AB4" i="1" s="1"/>
  <c r="AF7" i="1"/>
  <c r="AE7" i="1"/>
  <c r="E7" i="1" s="1"/>
  <c r="AA4" i="1" l="1"/>
  <c r="C4" i="1" s="1"/>
  <c r="AE29" i="1"/>
  <c r="E29" i="1" s="1"/>
</calcChain>
</file>

<file path=xl/sharedStrings.xml><?xml version="1.0" encoding="utf-8"?>
<sst xmlns="http://schemas.openxmlformats.org/spreadsheetml/2006/main" count="53" uniqueCount="52">
  <si>
    <t xml:space="preserve"> Quality Assurance Center </t>
  </si>
  <si>
    <t xml:space="preserve">Oman Healthcare Accrediation System </t>
  </si>
  <si>
    <t xml:space="preserve">Self Assessment Tool (SAT) </t>
  </si>
  <si>
    <t>Chapter 4</t>
  </si>
  <si>
    <t>Specialized Medical Care Services (SMCS)</t>
  </si>
  <si>
    <t>Conformity Level</t>
  </si>
  <si>
    <t xml:space="preserve">Evidence </t>
  </si>
  <si>
    <t xml:space="preserve">Comments </t>
  </si>
  <si>
    <t>Nutrition and Dietary Services</t>
  </si>
  <si>
    <t>SMCS.123</t>
  </si>
  <si>
    <t>The hospital has a standardized nutritional screening for all age group patients</t>
  </si>
  <si>
    <t>Total Measures: 9</t>
  </si>
  <si>
    <t>SMCS.123.a</t>
  </si>
  <si>
    <t>The hospital has an effective policy and procedure for a comprehensive nutritional assessment, that includes, but is not limited to:</t>
  </si>
  <si>
    <t>SMCS.123.aa  Height and weight chart for children</t>
  </si>
  <si>
    <t>SMCS.123.ab  Body mass index (BMI) for adults.</t>
  </si>
  <si>
    <t>SMCS.123.ac  Eating habits</t>
  </si>
  <si>
    <t>SMCS.123.ad  Food allergies.</t>
  </si>
  <si>
    <t>SMCS.123.ae Need for therapeutic diet.</t>
  </si>
  <si>
    <t>SMCS.123.af Physical difficulties with eating and drinking and the need for any assisting devices.</t>
  </si>
  <si>
    <t>SMCS.123.b</t>
  </si>
  <si>
    <t xml:space="preserve">Nutritional screening is only conducted by a qualified/trained nurse to determine the risk score that indicates whether a patient requires dietary consultation or not, within twenty-four hours of admission. </t>
  </si>
  <si>
    <t>SMCS.123.c</t>
  </si>
  <si>
    <t xml:space="preserve">Nutritional assessment is only conducted by qualified dietitian to determine the patient’s nutritional requirements and to initiate medical nutritional therapy. </t>
  </si>
  <si>
    <t>SMCS.123.d</t>
  </si>
  <si>
    <t xml:space="preserve">The nutritional screening and assessment findings are documented in the patient’s medical record. </t>
  </si>
  <si>
    <t>SMCS.124</t>
  </si>
  <si>
    <t>The hospital dietary services are provided by qualified clinical nutritionists.</t>
  </si>
  <si>
    <t>SMCS.124.a</t>
  </si>
  <si>
    <t xml:space="preserve">All aspects of the hospital's dietary services are overseen by a qualified dietitian.  </t>
  </si>
  <si>
    <t>SMCS.124.b</t>
  </si>
  <si>
    <t>Dietitians provide a variety of services, including, but not limited to:</t>
  </si>
  <si>
    <t>SMCS. 121.ba. A nutritional screening, assessment and reassessment is required for all patients.</t>
  </si>
  <si>
    <t xml:space="preserve">SMCS. 121.bb. The nutritional plan of care is developed. </t>
  </si>
  <si>
    <t xml:space="preserve">SMCS. 121.bd. Highlighting “food-drug interaction and allergic” to clinical staff. </t>
  </si>
  <si>
    <t xml:space="preserve">SMCS. 121.be. Patient dietary recommendation. </t>
  </si>
  <si>
    <t>SMCS. 121.be Nothing by mouth (NPO) monitoring sheet.</t>
  </si>
  <si>
    <t xml:space="preserve">SMCS. 121.bf Patient and Family Education related to nutrition issue. </t>
  </si>
  <si>
    <t>SMCS. 121.bg Reviewing and updating the dietary manual every 3 years</t>
  </si>
  <si>
    <t>SMCS.124.c</t>
  </si>
  <si>
    <t xml:space="preserve">Activities conducted by the dietician are documented in the patient’s electronic record. </t>
  </si>
  <si>
    <t>SMCS.125</t>
  </si>
  <si>
    <t>Hospital   maintains dry food store temperature under 25 degrees Celsius in catering facilities.</t>
  </si>
  <si>
    <t>Total Measures: 4</t>
  </si>
  <si>
    <t>SMCS.125.a</t>
  </si>
  <si>
    <t xml:space="preserve">Essential points (temperature and humidity) within the dry store of the catering facility, to be monitored. </t>
  </si>
  <si>
    <t>SMCS.125.b</t>
  </si>
  <si>
    <t>Records to ensure that dry stores should be dry and cool to prevent spoilage and the swelling of canned goods. The ideal temperature range is 10°C to 15°C (50°F to 59°F) and not to exceed 25C (77F).</t>
  </si>
  <si>
    <t>SMCS.125.c</t>
  </si>
  <si>
    <t>Records to ensure cleanness from biological, chemical and physical spoilage.</t>
  </si>
  <si>
    <t>SMCS.125.d</t>
  </si>
  <si>
    <t>All procedures (e.g., building specifications etc.) required to ensure safety from biological, chemical, physical and allergic hazards.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</si>
</sst>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2"/>
      <color theme="1"/>
      <name val="Calibri"/>
      <charset val="134"/>
      <scheme val="minor"/>
    </font>
    <font>
      <b/>
      <sz val="18"/>
      <color rgb="FF000000"/>
      <name val="Times New Roman"/>
      <charset val="134"/>
    </font>
    <font>
      <sz val="16"/>
      <color rgb="FF000000"/>
      <name val="Calibri"/>
      <charset val="134"/>
      <scheme val="minor"/>
    </font>
    <font>
      <b/>
      <sz val="16"/>
      <color rgb="FF000000"/>
      <name val="Times New Roman"/>
      <charset val="134"/>
    </font>
    <font>
      <sz val="11"/>
      <color rgb="FF9C6500"/>
      <name val="Calibri"/>
      <charset val="134"/>
      <scheme val="minor"/>
    </font>
    <font>
      <b/>
      <sz val="18"/>
      <color rgb="FFC00000"/>
      <name val="Times New Roman"/>
      <charset val="134"/>
    </font>
    <font>
      <b/>
      <sz val="16"/>
      <name val="Times New Roman"/>
      <charset val="134"/>
    </font>
    <font>
      <b/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6"/>
      <color theme="1"/>
      <name val="Times New Roman"/>
      <charset val="134"/>
    </font>
    <font>
      <sz val="16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3" fillId="4" borderId="5" xfId="0" applyFont="1" applyFill="1" applyBorder="1" applyAlignment="1">
      <alignment horizontal="center" vertical="center"/>
    </xf>
    <xf numFmtId="0" fontId="5" fillId="5" borderId="6" xfId="1" applyFont="1" applyBorder="1" applyAlignment="1">
      <alignment horizontal="center" vertical="center"/>
    </xf>
    <xf numFmtId="0" fontId="5" fillId="5" borderId="5" xfId="1" applyFont="1" applyBorder="1" applyAlignment="1">
      <alignment horizontal="center" vertical="center"/>
    </xf>
    <xf numFmtId="0" fontId="5" fillId="5" borderId="7" xfId="1" applyFont="1" applyBorder="1" applyAlignment="1">
      <alignment horizontal="center" vertical="center"/>
    </xf>
    <xf numFmtId="0" fontId="6" fillId="6" borderId="8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vertical="center"/>
    </xf>
    <xf numFmtId="0" fontId="7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left" vertical="center" wrapText="1"/>
    </xf>
    <xf numFmtId="0" fontId="10" fillId="9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vertical="center" wrapText="1"/>
    </xf>
    <xf numFmtId="0" fontId="11" fillId="11" borderId="8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Protection="1">
      <protection locked="0"/>
    </xf>
    <xf numFmtId="0" fontId="9" fillId="10" borderId="13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justify" vertical="center" wrapText="1"/>
    </xf>
    <xf numFmtId="0" fontId="9" fillId="9" borderId="8" xfId="0" applyFont="1" applyFill="1" applyBorder="1" applyAlignment="1">
      <alignment horizontal="justify" vertical="center" wrapText="1"/>
    </xf>
    <xf numFmtId="0" fontId="10" fillId="9" borderId="8" xfId="0" applyFont="1" applyFill="1" applyBorder="1" applyAlignment="1">
      <alignment horizontal="left" vertical="center"/>
    </xf>
    <xf numFmtId="0" fontId="10" fillId="9" borderId="9" xfId="0" applyFont="1" applyFill="1" applyBorder="1" applyAlignment="1">
      <alignment horizontal="left" vertical="center"/>
    </xf>
    <xf numFmtId="0" fontId="9" fillId="12" borderId="8" xfId="0" applyFont="1" applyFill="1" applyBorder="1" applyAlignment="1" applyProtection="1">
      <alignment horizontal="justify" vertical="center" wrapText="1"/>
      <protection locked="0"/>
    </xf>
    <xf numFmtId="0" fontId="12" fillId="0" borderId="13" xfId="0" applyFont="1" applyBorder="1"/>
    <xf numFmtId="0" fontId="11" fillId="0" borderId="13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F34"/>
  <sheetViews>
    <sheetView tabSelected="1" workbookViewId="0">
      <selection activeCell="C9" sqref="C9"/>
    </sheetView>
  </sheetViews>
  <sheetFormatPr defaultColWidth="9" defaultRowHeight="15.6"/>
  <cols>
    <col min="1" max="1" width="22.69921875" customWidth="1"/>
    <col min="2" max="2" width="79.69921875" customWidth="1"/>
    <col min="3" max="3" width="16.59765625" customWidth="1"/>
    <col min="4" max="5" width="70.59765625" customWidth="1"/>
  </cols>
  <sheetData>
    <row r="1" spans="1:32" ht="22.8">
      <c r="A1" s="1" t="s">
        <v>0</v>
      </c>
      <c r="B1" s="2"/>
      <c r="C1" s="2"/>
      <c r="D1" s="2"/>
      <c r="E1" s="3"/>
    </row>
    <row r="2" spans="1:32" ht="22.8">
      <c r="A2" s="4" t="s">
        <v>1</v>
      </c>
      <c r="B2" s="5"/>
      <c r="C2" s="5"/>
      <c r="D2" s="5"/>
      <c r="E2" s="6"/>
    </row>
    <row r="3" spans="1:32" ht="22.8">
      <c r="A3" s="7" t="s">
        <v>2</v>
      </c>
      <c r="B3" s="8"/>
      <c r="C3" s="8"/>
      <c r="D3" s="8"/>
      <c r="E3" s="9"/>
    </row>
    <row r="4" spans="1:32" ht="23.4" thickBot="1">
      <c r="A4" s="10"/>
      <c r="B4" s="11"/>
      <c r="C4" s="12" t="str">
        <f>"Total Score: "&amp;ROUND((AA4/AB4)*100,2)&amp;"%"</f>
        <v>Total Score: 0%</v>
      </c>
      <c r="D4" s="13"/>
      <c r="E4" s="14"/>
      <c r="AA4">
        <f>SUM(AA7:AA33)+SUM(AB7:AB33)*0.5</f>
        <v>0</v>
      </c>
      <c r="AB4">
        <f>COUNT(AA7:AA33)-SUM(AB7:AD33)</f>
        <v>22</v>
      </c>
    </row>
    <row r="5" spans="1:32" ht="21.6" thickTop="1" thickBot="1">
      <c r="A5" s="15" t="s">
        <v>3</v>
      </c>
      <c r="B5" s="16" t="s">
        <v>4</v>
      </c>
      <c r="C5" s="17" t="s">
        <v>5</v>
      </c>
      <c r="D5" s="18" t="s">
        <v>6</v>
      </c>
      <c r="E5" s="18" t="s">
        <v>7</v>
      </c>
    </row>
    <row r="6" spans="1:32" ht="21.6" thickTop="1" thickBot="1">
      <c r="A6" s="19" t="s">
        <v>8</v>
      </c>
      <c r="B6" s="19"/>
      <c r="C6" s="19"/>
      <c r="D6" s="19"/>
      <c r="E6" s="19"/>
    </row>
    <row r="7" spans="1:32" ht="56.25" customHeight="1" thickTop="1" thickBot="1">
      <c r="A7" s="20" t="s">
        <v>9</v>
      </c>
      <c r="B7" s="21" t="s">
        <v>10</v>
      </c>
      <c r="C7" s="22" t="s">
        <v>11</v>
      </c>
      <c r="D7" s="23"/>
      <c r="E7" s="24" t="str">
        <f>"Quotation: "&amp;ROUND((AE7/AF7)*100,2)&amp;"%"</f>
        <v>Quotation: 0%</v>
      </c>
      <c r="AE7">
        <f>SUM(AA8:AA17)+SUM(AB8:AB17)*0.5</f>
        <v>0</v>
      </c>
      <c r="AF7">
        <f>COUNT(AA8:AA17)-SUM(AD8:AD17)</f>
        <v>9</v>
      </c>
    </row>
    <row r="8" spans="1:32" ht="64.2" thickTop="1" thickBot="1">
      <c r="A8" s="25" t="s">
        <v>12</v>
      </c>
      <c r="B8" s="26" t="s">
        <v>13</v>
      </c>
      <c r="C8" s="27"/>
      <c r="D8" s="27"/>
      <c r="E8" s="27"/>
    </row>
    <row r="9" spans="1:32" ht="22.2" thickTop="1" thickBot="1">
      <c r="A9" s="28"/>
      <c r="B9" s="29" t="s">
        <v>14</v>
      </c>
      <c r="C9" s="30"/>
      <c r="D9" s="30"/>
      <c r="E9" s="30"/>
      <c r="AA9">
        <f t="shared" ref="AA9:AA17" si="0">IF(C9="Met",1,0)</f>
        <v>0</v>
      </c>
      <c r="AB9">
        <f t="shared" ref="AB9:AB17" si="1">IF(C9="Partially Met",1,0)</f>
        <v>0</v>
      </c>
      <c r="AC9">
        <f t="shared" ref="AC9:AC17" si="2">IF(C9="UnMet",1,0)</f>
        <v>0</v>
      </c>
      <c r="AD9">
        <f t="shared" ref="AD9:AD17" si="3">IF(C9="Not Applicable",1,0)</f>
        <v>0</v>
      </c>
    </row>
    <row r="10" spans="1:32" ht="22.2" thickTop="1" thickBot="1">
      <c r="A10" s="28"/>
      <c r="B10" s="29" t="s">
        <v>15</v>
      </c>
      <c r="C10" s="30"/>
      <c r="D10" s="30"/>
      <c r="E10" s="30"/>
      <c r="AA10">
        <f t="shared" si="0"/>
        <v>0</v>
      </c>
      <c r="AB10">
        <f t="shared" si="1"/>
        <v>0</v>
      </c>
      <c r="AC10">
        <f t="shared" si="2"/>
        <v>0</v>
      </c>
      <c r="AD10">
        <f t="shared" si="3"/>
        <v>0</v>
      </c>
    </row>
    <row r="11" spans="1:32" ht="22.2" thickTop="1" thickBot="1">
      <c r="A11" s="28"/>
      <c r="B11" s="29" t="s">
        <v>16</v>
      </c>
      <c r="C11" s="30"/>
      <c r="D11" s="30"/>
      <c r="E11" s="30"/>
      <c r="AA11">
        <f t="shared" si="0"/>
        <v>0</v>
      </c>
      <c r="AB11">
        <f t="shared" si="1"/>
        <v>0</v>
      </c>
      <c r="AC11">
        <f t="shared" si="2"/>
        <v>0</v>
      </c>
      <c r="AD11">
        <f t="shared" si="3"/>
        <v>0</v>
      </c>
    </row>
    <row r="12" spans="1:32" ht="22.2" thickTop="1" thickBot="1">
      <c r="A12" s="28"/>
      <c r="B12" s="29" t="s">
        <v>17</v>
      </c>
      <c r="C12" s="30"/>
      <c r="D12" s="30"/>
      <c r="E12" s="30"/>
      <c r="AA12">
        <f t="shared" si="0"/>
        <v>0</v>
      </c>
      <c r="AB12">
        <f t="shared" si="1"/>
        <v>0</v>
      </c>
      <c r="AC12">
        <f t="shared" si="2"/>
        <v>0</v>
      </c>
      <c r="AD12">
        <f t="shared" si="3"/>
        <v>0</v>
      </c>
    </row>
    <row r="13" spans="1:32" ht="22.2" thickTop="1" thickBot="1">
      <c r="A13" s="28"/>
      <c r="B13" s="29" t="s">
        <v>18</v>
      </c>
      <c r="C13" s="30"/>
      <c r="D13" s="30"/>
      <c r="E13" s="30"/>
      <c r="AA13">
        <f t="shared" si="0"/>
        <v>0</v>
      </c>
      <c r="AB13">
        <f t="shared" si="1"/>
        <v>0</v>
      </c>
      <c r="AC13">
        <f t="shared" si="2"/>
        <v>0</v>
      </c>
      <c r="AD13">
        <f t="shared" si="3"/>
        <v>0</v>
      </c>
    </row>
    <row r="14" spans="1:32" ht="43.2" thickTop="1" thickBot="1">
      <c r="A14" s="31"/>
      <c r="B14" s="29" t="s">
        <v>19</v>
      </c>
      <c r="C14" s="30"/>
      <c r="D14" s="30"/>
      <c r="E14" s="30"/>
      <c r="AA14">
        <f t="shared" si="0"/>
        <v>0</v>
      </c>
      <c r="AB14">
        <f t="shared" si="1"/>
        <v>0</v>
      </c>
      <c r="AC14">
        <f t="shared" si="2"/>
        <v>0</v>
      </c>
      <c r="AD14">
        <f t="shared" si="3"/>
        <v>0</v>
      </c>
    </row>
    <row r="15" spans="1:32" ht="64.2" thickTop="1" thickBot="1">
      <c r="A15" s="32" t="s">
        <v>20</v>
      </c>
      <c r="B15" s="29" t="s">
        <v>21</v>
      </c>
      <c r="C15" s="30"/>
      <c r="D15" s="30"/>
      <c r="E15" s="30"/>
      <c r="AA15">
        <f t="shared" si="0"/>
        <v>0</v>
      </c>
      <c r="AB15">
        <f t="shared" si="1"/>
        <v>0</v>
      </c>
      <c r="AC15">
        <f t="shared" si="2"/>
        <v>0</v>
      </c>
      <c r="AD15">
        <f t="shared" si="3"/>
        <v>0</v>
      </c>
    </row>
    <row r="16" spans="1:32" ht="64.2" thickTop="1" thickBot="1">
      <c r="A16" s="32" t="s">
        <v>22</v>
      </c>
      <c r="B16" s="29" t="s">
        <v>23</v>
      </c>
      <c r="C16" s="30"/>
      <c r="D16" s="30"/>
      <c r="E16" s="30"/>
      <c r="AA16">
        <f t="shared" si="0"/>
        <v>0</v>
      </c>
      <c r="AB16">
        <f t="shared" si="1"/>
        <v>0</v>
      </c>
      <c r="AC16">
        <f t="shared" si="2"/>
        <v>0</v>
      </c>
      <c r="AD16">
        <f t="shared" si="3"/>
        <v>0</v>
      </c>
    </row>
    <row r="17" spans="1:32" ht="43.2" thickTop="1" thickBot="1">
      <c r="A17" s="32" t="s">
        <v>24</v>
      </c>
      <c r="B17" s="29" t="s">
        <v>25</v>
      </c>
      <c r="C17" s="30"/>
      <c r="D17" s="30"/>
      <c r="E17" s="30"/>
      <c r="AA17">
        <f t="shared" si="0"/>
        <v>0</v>
      </c>
      <c r="AB17">
        <f t="shared" si="1"/>
        <v>0</v>
      </c>
      <c r="AC17">
        <f t="shared" si="2"/>
        <v>0</v>
      </c>
      <c r="AD17">
        <f t="shared" si="3"/>
        <v>0</v>
      </c>
    </row>
    <row r="18" spans="1:32" ht="42" thickTop="1" thickBot="1">
      <c r="A18" s="33" t="s">
        <v>26</v>
      </c>
      <c r="B18" s="21" t="s">
        <v>27</v>
      </c>
      <c r="C18" s="34" t="s">
        <v>11</v>
      </c>
      <c r="D18" s="34"/>
      <c r="E18" s="35" t="str">
        <f>"Quotation: "&amp;ROUND((AE18/AF18)*100,2)&amp;"%"</f>
        <v>Quotation: 0%</v>
      </c>
      <c r="AE18">
        <f>SUM(AA19:AA28)+SUM(AB19:AB28)*0.5</f>
        <v>0</v>
      </c>
      <c r="AF18">
        <f>COUNT(AA19:AA28)-SUM(AD19:AD28)</f>
        <v>9</v>
      </c>
    </row>
    <row r="19" spans="1:32" ht="43.2" thickTop="1" thickBot="1">
      <c r="A19" s="32" t="s">
        <v>28</v>
      </c>
      <c r="B19" s="29" t="s">
        <v>29</v>
      </c>
      <c r="C19" s="30"/>
      <c r="D19" s="30"/>
      <c r="E19" s="30"/>
      <c r="AA19">
        <f>IF(C19="Met",1,0)</f>
        <v>0</v>
      </c>
      <c r="AB19">
        <f>IF(C19="Partially Met",1,0)</f>
        <v>0</v>
      </c>
      <c r="AC19">
        <f>IF(C19="UnMet",1,0)</f>
        <v>0</v>
      </c>
      <c r="AD19">
        <f>IF(C19="Not Applicable",1,0)</f>
        <v>0</v>
      </c>
    </row>
    <row r="20" spans="1:32" ht="22.2" thickTop="1" thickBot="1">
      <c r="A20" s="25" t="s">
        <v>30</v>
      </c>
      <c r="B20" s="26" t="s">
        <v>31</v>
      </c>
      <c r="C20" s="27"/>
      <c r="D20" s="27"/>
      <c r="E20" s="27"/>
    </row>
    <row r="21" spans="1:32" ht="43.2" thickTop="1" thickBot="1">
      <c r="A21" s="28"/>
      <c r="B21" s="29" t="s">
        <v>32</v>
      </c>
      <c r="C21" s="30"/>
      <c r="D21" s="30"/>
      <c r="E21" s="30"/>
      <c r="AA21">
        <f t="shared" ref="AA21:AA28" si="4">IF(C21="Met",1,0)</f>
        <v>0</v>
      </c>
      <c r="AB21">
        <f t="shared" ref="AB21:AB28" si="5">IF(C21="Partially Met",1,0)</f>
        <v>0</v>
      </c>
      <c r="AC21">
        <f t="shared" ref="AC21:AC28" si="6">IF(C21="UnMet",1,0)</f>
        <v>0</v>
      </c>
      <c r="AD21">
        <f t="shared" ref="AD21:AD28" si="7">IF(C21="Not Applicable",1,0)</f>
        <v>0</v>
      </c>
    </row>
    <row r="22" spans="1:32" ht="22.2" thickTop="1" thickBot="1">
      <c r="A22" s="28"/>
      <c r="B22" s="29" t="s">
        <v>33</v>
      </c>
      <c r="C22" s="30"/>
      <c r="D22" s="30"/>
      <c r="E22" s="30"/>
      <c r="AA22">
        <f t="shared" si="4"/>
        <v>0</v>
      </c>
      <c r="AB22">
        <f t="shared" si="5"/>
        <v>0</v>
      </c>
      <c r="AC22">
        <f t="shared" si="6"/>
        <v>0</v>
      </c>
      <c r="AD22">
        <f t="shared" si="7"/>
        <v>0</v>
      </c>
    </row>
    <row r="23" spans="1:32" ht="43.2" thickTop="1" thickBot="1">
      <c r="A23" s="28"/>
      <c r="B23" s="29" t="s">
        <v>34</v>
      </c>
      <c r="C23" s="30"/>
      <c r="D23" s="30"/>
      <c r="E23" s="30"/>
      <c r="AA23">
        <f t="shared" si="4"/>
        <v>0</v>
      </c>
      <c r="AB23">
        <f t="shared" si="5"/>
        <v>0</v>
      </c>
      <c r="AC23">
        <f t="shared" si="6"/>
        <v>0</v>
      </c>
      <c r="AD23">
        <f t="shared" si="7"/>
        <v>0</v>
      </c>
    </row>
    <row r="24" spans="1:32" ht="22.2" thickTop="1" thickBot="1">
      <c r="A24" s="28"/>
      <c r="B24" s="29" t="s">
        <v>35</v>
      </c>
      <c r="C24" s="30"/>
      <c r="D24" s="30"/>
      <c r="E24" s="30"/>
      <c r="AA24">
        <f t="shared" si="4"/>
        <v>0</v>
      </c>
      <c r="AB24">
        <f t="shared" si="5"/>
        <v>0</v>
      </c>
      <c r="AC24">
        <f t="shared" si="6"/>
        <v>0</v>
      </c>
      <c r="AD24">
        <f t="shared" si="7"/>
        <v>0</v>
      </c>
    </row>
    <row r="25" spans="1:32" ht="22.2" thickTop="1" thickBot="1">
      <c r="A25" s="28"/>
      <c r="B25" s="29" t="s">
        <v>36</v>
      </c>
      <c r="C25" s="30"/>
      <c r="D25" s="30"/>
      <c r="E25" s="30"/>
      <c r="AA25">
        <f t="shared" si="4"/>
        <v>0</v>
      </c>
      <c r="AB25">
        <f t="shared" si="5"/>
        <v>0</v>
      </c>
      <c r="AC25">
        <f t="shared" si="6"/>
        <v>0</v>
      </c>
      <c r="AD25">
        <f t="shared" si="7"/>
        <v>0</v>
      </c>
    </row>
    <row r="26" spans="1:32" ht="22.2" thickTop="1" thickBot="1">
      <c r="A26" s="28"/>
      <c r="B26" s="29" t="s">
        <v>37</v>
      </c>
      <c r="C26" s="30"/>
      <c r="D26" s="30"/>
      <c r="E26" s="30"/>
      <c r="AA26">
        <f t="shared" si="4"/>
        <v>0</v>
      </c>
      <c r="AB26">
        <f t="shared" si="5"/>
        <v>0</v>
      </c>
      <c r="AC26">
        <f t="shared" si="6"/>
        <v>0</v>
      </c>
      <c r="AD26">
        <f t="shared" si="7"/>
        <v>0</v>
      </c>
    </row>
    <row r="27" spans="1:32" ht="43.2" thickTop="1" thickBot="1">
      <c r="A27" s="31"/>
      <c r="B27" s="29" t="s">
        <v>38</v>
      </c>
      <c r="C27" s="30"/>
      <c r="D27" s="30"/>
      <c r="E27" s="30"/>
      <c r="AA27">
        <f t="shared" si="4"/>
        <v>0</v>
      </c>
      <c r="AB27">
        <f t="shared" si="5"/>
        <v>0</v>
      </c>
      <c r="AC27">
        <f t="shared" si="6"/>
        <v>0</v>
      </c>
      <c r="AD27">
        <f t="shared" si="7"/>
        <v>0</v>
      </c>
    </row>
    <row r="28" spans="1:32" ht="43.2" thickTop="1" thickBot="1">
      <c r="A28" s="32" t="s">
        <v>39</v>
      </c>
      <c r="B28" s="29" t="s">
        <v>40</v>
      </c>
      <c r="C28" s="30"/>
      <c r="D28" s="30"/>
      <c r="E28" s="30"/>
      <c r="AA28">
        <f t="shared" si="4"/>
        <v>0</v>
      </c>
      <c r="AB28">
        <f t="shared" si="5"/>
        <v>0</v>
      </c>
      <c r="AC28">
        <f t="shared" si="6"/>
        <v>0</v>
      </c>
      <c r="AD28">
        <f t="shared" si="7"/>
        <v>0</v>
      </c>
    </row>
    <row r="29" spans="1:32" ht="42" thickTop="1" thickBot="1">
      <c r="A29" s="33" t="s">
        <v>41</v>
      </c>
      <c r="B29" s="33" t="s">
        <v>42</v>
      </c>
      <c r="C29" s="34" t="s">
        <v>43</v>
      </c>
      <c r="D29" s="34"/>
      <c r="E29" s="35" t="str">
        <f>"Quotation: "&amp;ROUND((AE29/AF29)*100,2)&amp;"%"</f>
        <v>Quotation: 0%</v>
      </c>
      <c r="AE29">
        <f>SUM(AA30:AA33)+SUM(AB30:AB33)*0.5</f>
        <v>0</v>
      </c>
      <c r="AF29">
        <f>COUNT(AA30:AA33)-SUM(AD30:AD33)</f>
        <v>4</v>
      </c>
    </row>
    <row r="30" spans="1:32" ht="43.2" thickTop="1" thickBot="1">
      <c r="A30" s="32" t="s">
        <v>44</v>
      </c>
      <c r="B30" s="29" t="s">
        <v>45</v>
      </c>
      <c r="C30" s="36"/>
      <c r="D30" s="36"/>
      <c r="E30" s="36"/>
      <c r="AA30">
        <f>IF(C30="Met",1,0)</f>
        <v>0</v>
      </c>
      <c r="AB30">
        <f>IF(C30="Partially Met",1,0)</f>
        <v>0</v>
      </c>
      <c r="AC30">
        <f>IF(C30="UnMet",1,0)</f>
        <v>0</v>
      </c>
      <c r="AD30">
        <f>IF(C30="Not Applicable",1,0)</f>
        <v>0</v>
      </c>
    </row>
    <row r="31" spans="1:32" ht="64.2" thickTop="1" thickBot="1">
      <c r="A31" s="32" t="s">
        <v>46</v>
      </c>
      <c r="B31" s="29" t="s">
        <v>47</v>
      </c>
      <c r="C31" s="36"/>
      <c r="D31" s="36"/>
      <c r="E31" s="36"/>
      <c r="AA31">
        <f>IF(C31="Met",1,0)</f>
        <v>0</v>
      </c>
      <c r="AB31">
        <f>IF(C31="Partially Met",1,0)</f>
        <v>0</v>
      </c>
      <c r="AC31">
        <f>IF(C31="UnMet",1,0)</f>
        <v>0</v>
      </c>
      <c r="AD31">
        <f>IF(C31="Not Applicable",1,0)</f>
        <v>0</v>
      </c>
    </row>
    <row r="32" spans="1:32" ht="43.2" thickTop="1" thickBot="1">
      <c r="A32" s="32" t="s">
        <v>48</v>
      </c>
      <c r="B32" s="29" t="s">
        <v>49</v>
      </c>
      <c r="C32" s="36"/>
      <c r="D32" s="36"/>
      <c r="E32" s="36"/>
      <c r="AA32">
        <f>IF(C32="Met",1,0)</f>
        <v>0</v>
      </c>
      <c r="AB32">
        <f>IF(C32="Partially Met",1,0)</f>
        <v>0</v>
      </c>
      <c r="AC32">
        <f>IF(C32="UnMet",1,0)</f>
        <v>0</v>
      </c>
      <c r="AD32">
        <f>IF(C32="Not Applicable",1,0)</f>
        <v>0</v>
      </c>
    </row>
    <row r="33" spans="1:30" ht="43.2" thickTop="1" thickBot="1">
      <c r="A33" s="32" t="s">
        <v>50</v>
      </c>
      <c r="B33" s="29" t="s">
        <v>51</v>
      </c>
      <c r="C33" s="36"/>
      <c r="D33" s="36"/>
      <c r="E33" s="36"/>
      <c r="AA33">
        <f>IF(C33="Met",1,0)</f>
        <v>0</v>
      </c>
      <c r="AB33">
        <f>IF(C33="Partially Met",1,0)</f>
        <v>0</v>
      </c>
      <c r="AC33">
        <f>IF(C33="UnMet",1,0)</f>
        <v>0</v>
      </c>
      <c r="AD33">
        <f>IF(C33="Not Applicable",1,0)</f>
        <v>0</v>
      </c>
    </row>
    <row r="34" spans="1:30" ht="22.2" thickTop="1" thickBot="1">
      <c r="A34" s="37"/>
      <c r="B34" s="37"/>
      <c r="C34" s="38"/>
      <c r="D34" s="38"/>
      <c r="E34" s="38"/>
    </row>
  </sheetData>
  <sheetProtection algorithmName="SHA-512" hashValue="Sx4Tk/onCOjjdYEoNIdumf+PoaMFz8J95wbV1Oz7LMxl9LYDomb5aZ0lSTzFT/wl0Nh3/O47afYEdSCGUjak0w==" saltValue="EHlGkNz6HQd+ogrekUDrOw==" spinCount="100000" sheet="1" objects="1" scenarios="1"/>
  <mergeCells count="12">
    <mergeCell ref="A8:A14"/>
    <mergeCell ref="C8:E8"/>
    <mergeCell ref="C18:D18"/>
    <mergeCell ref="A20:A27"/>
    <mergeCell ref="C20:E20"/>
    <mergeCell ref="C29:D29"/>
    <mergeCell ref="A1:E1"/>
    <mergeCell ref="A2:E2"/>
    <mergeCell ref="A3:E3"/>
    <mergeCell ref="C4:E4"/>
    <mergeCell ref="A6:E6"/>
    <mergeCell ref="C7:D7"/>
  </mergeCells>
  <dataValidations count="1">
    <dataValidation type="list" showInputMessage="1" showErrorMessage="1" sqref="C9:C17 C19 C21:C28 C30:C33">
      <formula1>"Met,Partially Met,UnMet,Not Applicable"</formula1>
    </dataValidation>
  </dataValidations>
  <pageMargins left="0.70866141732283505" right="0.70866141732283505" top="0.74803149606299202" bottom="0.74803149606299202" header="0.31496062992126" footer="0.31496062992126"/>
  <pageSetup paperSize="9" scale="4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SMCS14</vt:lpstr>
      <vt:lpstr>SMCS14!Print_Area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Musa</dc:creator>
  <cp:lastModifiedBy>Ashraf Musa</cp:lastModifiedBy>
  <dcterms:created xsi:type="dcterms:W3CDTF">2025-08-22T13:38:02Z</dcterms:created>
  <dcterms:modified xsi:type="dcterms:W3CDTF">2025-08-22T13:38:03Z</dcterms:modified>
</cp:coreProperties>
</file>