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AMEH\Downloads\"/>
    </mc:Choice>
  </mc:AlternateContent>
  <bookViews>
    <workbookView xWindow="0" yWindow="0" windowWidth="23040" windowHeight="8784"/>
  </bookViews>
  <sheets>
    <sheet name="SMCS6" sheetId="1" r:id="rId1"/>
  </sheets>
  <definedNames>
    <definedName name="_xlnm.Print_Area" localSheetId="0">SMCS6!$A$1:$F$189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89" i="1" l="1"/>
  <c r="AC189" i="1"/>
  <c r="AB189" i="1"/>
  <c r="AA189" i="1"/>
  <c r="AD188" i="1"/>
  <c r="AC188" i="1"/>
  <c r="AB188" i="1"/>
  <c r="AA188" i="1"/>
  <c r="AD187" i="1"/>
  <c r="AC187" i="1"/>
  <c r="AB187" i="1"/>
  <c r="AA187" i="1"/>
  <c r="AD186" i="1"/>
  <c r="AC186" i="1"/>
  <c r="AB186" i="1"/>
  <c r="AA186" i="1"/>
  <c r="AD185" i="1"/>
  <c r="AC185" i="1"/>
  <c r="AB185" i="1"/>
  <c r="AA185" i="1"/>
  <c r="AD184" i="1"/>
  <c r="AC184" i="1"/>
  <c r="AB184" i="1"/>
  <c r="AA184" i="1"/>
  <c r="AF183" i="1" s="1"/>
  <c r="AD182" i="1"/>
  <c r="AC182" i="1"/>
  <c r="AB182" i="1"/>
  <c r="AA182" i="1"/>
  <c r="AD181" i="1"/>
  <c r="AC181" i="1"/>
  <c r="AB181" i="1"/>
  <c r="AA181" i="1"/>
  <c r="AD180" i="1"/>
  <c r="AC180" i="1"/>
  <c r="AB180" i="1"/>
  <c r="AA180" i="1"/>
  <c r="AD179" i="1"/>
  <c r="AC179" i="1"/>
  <c r="AB179" i="1"/>
  <c r="AA179" i="1"/>
  <c r="AD178" i="1"/>
  <c r="AC178" i="1"/>
  <c r="AB178" i="1"/>
  <c r="AA178" i="1"/>
  <c r="AD177" i="1"/>
  <c r="AC177" i="1"/>
  <c r="AB177" i="1"/>
  <c r="AA177" i="1"/>
  <c r="AD176" i="1"/>
  <c r="AC176" i="1"/>
  <c r="AB176" i="1"/>
  <c r="AA176" i="1"/>
  <c r="AD175" i="1"/>
  <c r="AC175" i="1"/>
  <c r="AB175" i="1"/>
  <c r="AA175" i="1"/>
  <c r="AD174" i="1"/>
  <c r="AC174" i="1"/>
  <c r="AB174" i="1"/>
  <c r="AA174" i="1"/>
  <c r="AD173" i="1"/>
  <c r="AC173" i="1"/>
  <c r="AB173" i="1"/>
  <c r="AA173" i="1"/>
  <c r="AD172" i="1"/>
  <c r="AC172" i="1"/>
  <c r="AB172" i="1"/>
  <c r="AA172" i="1"/>
  <c r="AE171" i="1" s="1"/>
  <c r="E171" i="1" s="1"/>
  <c r="AF171" i="1"/>
  <c r="AD170" i="1"/>
  <c r="AC170" i="1"/>
  <c r="AB170" i="1"/>
  <c r="AA170" i="1"/>
  <c r="AD169" i="1"/>
  <c r="AC169" i="1"/>
  <c r="AB169" i="1"/>
  <c r="AA169" i="1"/>
  <c r="AD168" i="1"/>
  <c r="AC168" i="1"/>
  <c r="AB168" i="1"/>
  <c r="AA168" i="1"/>
  <c r="AD167" i="1"/>
  <c r="AF166" i="1" s="1"/>
  <c r="AC167" i="1"/>
  <c r="AB167" i="1"/>
  <c r="AA167" i="1"/>
  <c r="AE166" i="1"/>
  <c r="E166" i="1" s="1"/>
  <c r="AD165" i="1"/>
  <c r="AC165" i="1"/>
  <c r="AB165" i="1"/>
  <c r="AA165" i="1"/>
  <c r="AD164" i="1"/>
  <c r="AC164" i="1"/>
  <c r="AB164" i="1"/>
  <c r="AA164" i="1"/>
  <c r="AD163" i="1"/>
  <c r="AC163" i="1"/>
  <c r="AB163" i="1"/>
  <c r="AA163" i="1"/>
  <c r="AD162" i="1"/>
  <c r="AC162" i="1"/>
  <c r="AB162" i="1"/>
  <c r="AA162" i="1"/>
  <c r="AD161" i="1"/>
  <c r="AC161" i="1"/>
  <c r="AB161" i="1"/>
  <c r="AA161" i="1"/>
  <c r="AD160" i="1"/>
  <c r="AC160" i="1"/>
  <c r="AB160" i="1"/>
  <c r="AA160" i="1"/>
  <c r="AD159" i="1"/>
  <c r="AC159" i="1"/>
  <c r="AB159" i="1"/>
  <c r="AA159" i="1"/>
  <c r="AD158" i="1"/>
  <c r="AC158" i="1"/>
  <c r="AB158" i="1"/>
  <c r="AA158" i="1"/>
  <c r="AD157" i="1"/>
  <c r="AC157" i="1"/>
  <c r="AB157" i="1"/>
  <c r="AE154" i="1" s="1"/>
  <c r="E154" i="1" s="1"/>
  <c r="AA157" i="1"/>
  <c r="AD155" i="1"/>
  <c r="AC155" i="1"/>
  <c r="AB155" i="1"/>
  <c r="AA155" i="1"/>
  <c r="AF154" i="1"/>
  <c r="AD153" i="1"/>
  <c r="AC153" i="1"/>
  <c r="AB153" i="1"/>
  <c r="AA153" i="1"/>
  <c r="AD152" i="1"/>
  <c r="AC152" i="1"/>
  <c r="AB152" i="1"/>
  <c r="AA152" i="1"/>
  <c r="AD151" i="1"/>
  <c r="AC151" i="1"/>
  <c r="AB151" i="1"/>
  <c r="AA151" i="1"/>
  <c r="AD150" i="1"/>
  <c r="AC150" i="1"/>
  <c r="AB150" i="1"/>
  <c r="AA150" i="1"/>
  <c r="AD149" i="1"/>
  <c r="AC149" i="1"/>
  <c r="AB149" i="1"/>
  <c r="AA149" i="1"/>
  <c r="AD148" i="1"/>
  <c r="AC148" i="1"/>
  <c r="AB148" i="1"/>
  <c r="AA148" i="1"/>
  <c r="AD147" i="1"/>
  <c r="AC147" i="1"/>
  <c r="AB147" i="1"/>
  <c r="AA147" i="1"/>
  <c r="AF146" i="1" s="1"/>
  <c r="AD145" i="1"/>
  <c r="AC145" i="1"/>
  <c r="AB145" i="1"/>
  <c r="AA145" i="1"/>
  <c r="AD144" i="1"/>
  <c r="AC144" i="1"/>
  <c r="AB144" i="1"/>
  <c r="AA144" i="1"/>
  <c r="AD143" i="1"/>
  <c r="AC143" i="1"/>
  <c r="AB143" i="1"/>
  <c r="AA143" i="1"/>
  <c r="AD142" i="1"/>
  <c r="AC142" i="1"/>
  <c r="AB142" i="1"/>
  <c r="AA142" i="1"/>
  <c r="AD141" i="1"/>
  <c r="AC141" i="1"/>
  <c r="AB141" i="1"/>
  <c r="AA141" i="1"/>
  <c r="AD140" i="1"/>
  <c r="AC140" i="1"/>
  <c r="AB140" i="1"/>
  <c r="AA140" i="1"/>
  <c r="AD139" i="1"/>
  <c r="AC139" i="1"/>
  <c r="AB139" i="1"/>
  <c r="AA139" i="1"/>
  <c r="AD138" i="1"/>
  <c r="AC138" i="1"/>
  <c r="AB138" i="1"/>
  <c r="AA138" i="1"/>
  <c r="AD137" i="1"/>
  <c r="AC137" i="1"/>
  <c r="AB137" i="1"/>
  <c r="AA137" i="1"/>
  <c r="AD136" i="1"/>
  <c r="AC136" i="1"/>
  <c r="AB136" i="1"/>
  <c r="AA136" i="1"/>
  <c r="AD135" i="1"/>
  <c r="AC135" i="1"/>
  <c r="AB135" i="1"/>
  <c r="AA135" i="1"/>
  <c r="AD134" i="1"/>
  <c r="AC134" i="1"/>
  <c r="AB134" i="1"/>
  <c r="AA134" i="1"/>
  <c r="AD133" i="1"/>
  <c r="AC133" i="1"/>
  <c r="AB133" i="1"/>
  <c r="AA133" i="1"/>
  <c r="AD132" i="1"/>
  <c r="AC132" i="1"/>
  <c r="AB132" i="1"/>
  <c r="AA132" i="1"/>
  <c r="AF129" i="1" s="1"/>
  <c r="AD130" i="1"/>
  <c r="AC130" i="1"/>
  <c r="AB130" i="1"/>
  <c r="AA130" i="1"/>
  <c r="AE129" i="1" s="1"/>
  <c r="E129" i="1" s="1"/>
  <c r="AD128" i="1"/>
  <c r="AC128" i="1"/>
  <c r="AB128" i="1"/>
  <c r="AA128" i="1"/>
  <c r="AD127" i="1"/>
  <c r="AC127" i="1"/>
  <c r="AB127" i="1"/>
  <c r="AA127" i="1"/>
  <c r="AD126" i="1"/>
  <c r="AC126" i="1"/>
  <c r="AB126" i="1"/>
  <c r="AA126" i="1"/>
  <c r="AD125" i="1"/>
  <c r="AC125" i="1"/>
  <c r="AB125" i="1"/>
  <c r="AA125" i="1"/>
  <c r="AD124" i="1"/>
  <c r="AC124" i="1"/>
  <c r="AB124" i="1"/>
  <c r="AA124" i="1"/>
  <c r="AD123" i="1"/>
  <c r="AC123" i="1"/>
  <c r="AB123" i="1"/>
  <c r="AA123" i="1"/>
  <c r="AD122" i="1"/>
  <c r="AC122" i="1"/>
  <c r="AB122" i="1"/>
  <c r="AA122" i="1"/>
  <c r="AD121" i="1"/>
  <c r="AC121" i="1"/>
  <c r="AB121" i="1"/>
  <c r="AA121" i="1"/>
  <c r="AD120" i="1"/>
  <c r="AC120" i="1"/>
  <c r="AB120" i="1"/>
  <c r="AA120" i="1"/>
  <c r="AD119" i="1"/>
  <c r="AC119" i="1"/>
  <c r="AB119" i="1"/>
  <c r="AA119" i="1"/>
  <c r="AD118" i="1"/>
  <c r="AC118" i="1"/>
  <c r="AB118" i="1"/>
  <c r="AA118" i="1"/>
  <c r="AD117" i="1"/>
  <c r="AC117" i="1"/>
  <c r="AB117" i="1"/>
  <c r="AA117" i="1"/>
  <c r="AD116" i="1"/>
  <c r="AF114" i="1" s="1"/>
  <c r="AC116" i="1"/>
  <c r="AB116" i="1"/>
  <c r="AA116" i="1"/>
  <c r="AE114" i="1"/>
  <c r="AD113" i="1"/>
  <c r="AC113" i="1"/>
  <c r="AB113" i="1"/>
  <c r="AA113" i="1"/>
  <c r="AD112" i="1"/>
  <c r="AC112" i="1"/>
  <c r="AB112" i="1"/>
  <c r="AA112" i="1"/>
  <c r="AD111" i="1"/>
  <c r="AC111" i="1"/>
  <c r="AB111" i="1"/>
  <c r="AA111" i="1"/>
  <c r="AD110" i="1"/>
  <c r="AC110" i="1"/>
  <c r="AB110" i="1"/>
  <c r="AA110" i="1"/>
  <c r="AD109" i="1"/>
  <c r="AC109" i="1"/>
  <c r="AB109" i="1"/>
  <c r="AE108" i="1" s="1"/>
  <c r="AA109" i="1"/>
  <c r="AF108" i="1" s="1"/>
  <c r="AD107" i="1"/>
  <c r="AC107" i="1"/>
  <c r="AB107" i="1"/>
  <c r="AA107" i="1"/>
  <c r="AD106" i="1"/>
  <c r="AC106" i="1"/>
  <c r="AB106" i="1"/>
  <c r="AA106" i="1"/>
  <c r="AD105" i="1"/>
  <c r="AC105" i="1"/>
  <c r="AB105" i="1"/>
  <c r="AA105" i="1"/>
  <c r="AD104" i="1"/>
  <c r="AC104" i="1"/>
  <c r="AB104" i="1"/>
  <c r="AA104" i="1"/>
  <c r="AD103" i="1"/>
  <c r="AC103" i="1"/>
  <c r="AB103" i="1"/>
  <c r="AA103" i="1"/>
  <c r="AD102" i="1"/>
  <c r="AC102" i="1"/>
  <c r="AB102" i="1"/>
  <c r="AA102" i="1"/>
  <c r="AD101" i="1"/>
  <c r="AC101" i="1"/>
  <c r="AB101" i="1"/>
  <c r="AA101" i="1"/>
  <c r="AD100" i="1"/>
  <c r="AC100" i="1"/>
  <c r="AB100" i="1"/>
  <c r="AA100" i="1"/>
  <c r="AF99" i="1" s="1"/>
  <c r="AD98" i="1"/>
  <c r="AC98" i="1"/>
  <c r="AB98" i="1"/>
  <c r="AA98" i="1"/>
  <c r="AD97" i="1"/>
  <c r="AC97" i="1"/>
  <c r="AB97" i="1"/>
  <c r="AA97" i="1"/>
  <c r="AD96" i="1"/>
  <c r="AC96" i="1"/>
  <c r="AB96" i="1"/>
  <c r="AA96" i="1"/>
  <c r="AD95" i="1"/>
  <c r="AC95" i="1"/>
  <c r="AB95" i="1"/>
  <c r="AA95" i="1"/>
  <c r="AD94" i="1"/>
  <c r="AC94" i="1"/>
  <c r="AB94" i="1"/>
  <c r="AA94" i="1"/>
  <c r="AD93" i="1"/>
  <c r="AC93" i="1"/>
  <c r="AB93" i="1"/>
  <c r="AA93" i="1"/>
  <c r="AD92" i="1"/>
  <c r="AC92" i="1"/>
  <c r="AB92" i="1"/>
  <c r="AA92" i="1"/>
  <c r="AD91" i="1"/>
  <c r="AC91" i="1"/>
  <c r="AB91" i="1"/>
  <c r="AA91" i="1"/>
  <c r="AD90" i="1"/>
  <c r="AC90" i="1"/>
  <c r="AB90" i="1"/>
  <c r="AA90" i="1"/>
  <c r="AD89" i="1"/>
  <c r="AC89" i="1"/>
  <c r="AB89" i="1"/>
  <c r="AA89" i="1"/>
  <c r="AD88" i="1"/>
  <c r="AC88" i="1"/>
  <c r="AB88" i="1"/>
  <c r="AA88" i="1"/>
  <c r="AD87" i="1"/>
  <c r="AC87" i="1"/>
  <c r="AB87" i="1"/>
  <c r="AA87" i="1"/>
  <c r="AD86" i="1"/>
  <c r="AC86" i="1"/>
  <c r="AB86" i="1"/>
  <c r="AA86" i="1"/>
  <c r="AD85" i="1"/>
  <c r="AC85" i="1"/>
  <c r="AB85" i="1"/>
  <c r="AA85" i="1"/>
  <c r="AD84" i="1"/>
  <c r="AC84" i="1"/>
  <c r="AB84" i="1"/>
  <c r="AA84" i="1"/>
  <c r="AD83" i="1"/>
  <c r="AC83" i="1"/>
  <c r="AB83" i="1"/>
  <c r="AA83" i="1"/>
  <c r="AD82" i="1"/>
  <c r="AC82" i="1"/>
  <c r="AB82" i="1"/>
  <c r="AA82" i="1"/>
  <c r="AD81" i="1"/>
  <c r="AC81" i="1"/>
  <c r="AB81" i="1"/>
  <c r="AA81" i="1"/>
  <c r="AE79" i="1" s="1"/>
  <c r="E79" i="1" s="1"/>
  <c r="AF79" i="1"/>
  <c r="AD78" i="1"/>
  <c r="AC78" i="1"/>
  <c r="AB78" i="1"/>
  <c r="AA78" i="1"/>
  <c r="AD77" i="1"/>
  <c r="AC77" i="1"/>
  <c r="AB77" i="1"/>
  <c r="AA77" i="1"/>
  <c r="AD76" i="1"/>
  <c r="AC76" i="1"/>
  <c r="AB76" i="1"/>
  <c r="AA76" i="1"/>
  <c r="AD75" i="1"/>
  <c r="AC75" i="1"/>
  <c r="AB75" i="1"/>
  <c r="AA75" i="1"/>
  <c r="AD74" i="1"/>
  <c r="AC74" i="1"/>
  <c r="AB74" i="1"/>
  <c r="AA74" i="1"/>
  <c r="AD73" i="1"/>
  <c r="AC73" i="1"/>
  <c r="AB73" i="1"/>
  <c r="AA73" i="1"/>
  <c r="AD72" i="1"/>
  <c r="AC72" i="1"/>
  <c r="AB72" i="1"/>
  <c r="AA72" i="1"/>
  <c r="AD71" i="1"/>
  <c r="AF70" i="1" s="1"/>
  <c r="AC71" i="1"/>
  <c r="AB71" i="1"/>
  <c r="AA71" i="1"/>
  <c r="AE70" i="1"/>
  <c r="AD69" i="1"/>
  <c r="AC69" i="1"/>
  <c r="AB69" i="1"/>
  <c r="AA69" i="1"/>
  <c r="AD68" i="1"/>
  <c r="AC68" i="1"/>
  <c r="AB68" i="1"/>
  <c r="AA68" i="1"/>
  <c r="AD67" i="1"/>
  <c r="AC67" i="1"/>
  <c r="AB67" i="1"/>
  <c r="AE65" i="1" s="1"/>
  <c r="E65" i="1" s="1"/>
  <c r="AA67" i="1"/>
  <c r="AD66" i="1"/>
  <c r="AC66" i="1"/>
  <c r="AB66" i="1"/>
  <c r="AA66" i="1"/>
  <c r="AF65" i="1"/>
  <c r="AD64" i="1"/>
  <c r="AC64" i="1"/>
  <c r="AB64" i="1"/>
  <c r="AA64" i="1"/>
  <c r="AD63" i="1"/>
  <c r="AC63" i="1"/>
  <c r="AB63" i="1"/>
  <c r="AA63" i="1"/>
  <c r="AD62" i="1"/>
  <c r="AC62" i="1"/>
  <c r="AB62" i="1"/>
  <c r="AA62" i="1"/>
  <c r="AD60" i="1"/>
  <c r="AC60" i="1"/>
  <c r="AB60" i="1"/>
  <c r="AA60" i="1"/>
  <c r="AD59" i="1"/>
  <c r="AC59" i="1"/>
  <c r="AB59" i="1"/>
  <c r="AA59" i="1"/>
  <c r="AD58" i="1"/>
  <c r="AC58" i="1"/>
  <c r="AB58" i="1"/>
  <c r="AA58" i="1"/>
  <c r="AD57" i="1"/>
  <c r="AC57" i="1"/>
  <c r="AB57" i="1"/>
  <c r="AA57" i="1"/>
  <c r="AD56" i="1"/>
  <c r="AC56" i="1"/>
  <c r="AB56" i="1"/>
  <c r="AA56" i="1"/>
  <c r="AD55" i="1"/>
  <c r="AC55" i="1"/>
  <c r="AB55" i="1"/>
  <c r="AA55" i="1"/>
  <c r="AD54" i="1"/>
  <c r="AC54" i="1"/>
  <c r="AB54" i="1"/>
  <c r="AA54" i="1"/>
  <c r="AD53" i="1"/>
  <c r="AC53" i="1"/>
  <c r="AB53" i="1"/>
  <c r="AA53" i="1"/>
  <c r="AD52" i="1"/>
  <c r="AC52" i="1"/>
  <c r="AB52" i="1"/>
  <c r="AA52" i="1"/>
  <c r="AD51" i="1"/>
  <c r="AC51" i="1"/>
  <c r="AB51" i="1"/>
  <c r="AA51" i="1"/>
  <c r="AD50" i="1"/>
  <c r="AC50" i="1"/>
  <c r="AB50" i="1"/>
  <c r="AA50" i="1"/>
  <c r="AD49" i="1"/>
  <c r="AC49" i="1"/>
  <c r="AB49" i="1"/>
  <c r="AA49" i="1"/>
  <c r="AD47" i="1"/>
  <c r="AC47" i="1"/>
  <c r="AB47" i="1"/>
  <c r="AA47" i="1"/>
  <c r="AD46" i="1"/>
  <c r="AC46" i="1"/>
  <c r="AB46" i="1"/>
  <c r="AA46" i="1"/>
  <c r="AF45" i="1" s="1"/>
  <c r="AD44" i="1"/>
  <c r="AC44" i="1"/>
  <c r="AB44" i="1"/>
  <c r="AA44" i="1"/>
  <c r="AD43" i="1"/>
  <c r="AC43" i="1"/>
  <c r="AB43" i="1"/>
  <c r="AA43" i="1"/>
  <c r="AD42" i="1"/>
  <c r="AC42" i="1"/>
  <c r="AB42" i="1"/>
  <c r="AA42" i="1"/>
  <c r="AD41" i="1"/>
  <c r="AC41" i="1"/>
  <c r="AB41" i="1"/>
  <c r="AA41" i="1"/>
  <c r="AD40" i="1"/>
  <c r="AC40" i="1"/>
  <c r="AB40" i="1"/>
  <c r="AA40" i="1"/>
  <c r="AD39" i="1"/>
  <c r="AC39" i="1"/>
  <c r="AB39" i="1"/>
  <c r="AA39" i="1"/>
  <c r="AD38" i="1"/>
  <c r="AC38" i="1"/>
  <c r="AB38" i="1"/>
  <c r="AA38" i="1"/>
  <c r="AD37" i="1"/>
  <c r="AC37" i="1"/>
  <c r="AB37" i="1"/>
  <c r="AA37" i="1"/>
  <c r="AD36" i="1"/>
  <c r="AC36" i="1"/>
  <c r="AB36" i="1"/>
  <c r="AA36" i="1"/>
  <c r="AD35" i="1"/>
  <c r="AC35" i="1"/>
  <c r="AB35" i="1"/>
  <c r="AA35" i="1"/>
  <c r="AD34" i="1"/>
  <c r="AC34" i="1"/>
  <c r="AB34" i="1"/>
  <c r="AA34" i="1"/>
  <c r="AD33" i="1"/>
  <c r="AC33" i="1"/>
  <c r="AB33" i="1"/>
  <c r="AA33" i="1"/>
  <c r="AD32" i="1"/>
  <c r="AC32" i="1"/>
  <c r="AB32" i="1"/>
  <c r="AA32" i="1"/>
  <c r="AD31" i="1"/>
  <c r="AC31" i="1"/>
  <c r="AB31" i="1"/>
  <c r="AA31" i="1"/>
  <c r="AD30" i="1"/>
  <c r="AC30" i="1"/>
  <c r="AB30" i="1"/>
  <c r="AA30" i="1"/>
  <c r="AD29" i="1"/>
  <c r="AC29" i="1"/>
  <c r="AB29" i="1"/>
  <c r="AA29" i="1"/>
  <c r="AE27" i="1" s="1"/>
  <c r="E27" i="1" s="1"/>
  <c r="AF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3" i="1"/>
  <c r="AC23" i="1"/>
  <c r="AB23" i="1"/>
  <c r="AA23" i="1"/>
  <c r="AD22" i="1"/>
  <c r="AC22" i="1"/>
  <c r="AB22" i="1"/>
  <c r="AA22" i="1"/>
  <c r="AD21" i="1"/>
  <c r="AC21" i="1"/>
  <c r="AB21" i="1"/>
  <c r="AA21" i="1"/>
  <c r="AD20" i="1"/>
  <c r="AC20" i="1"/>
  <c r="AB20" i="1"/>
  <c r="AA20" i="1"/>
  <c r="AD19" i="1"/>
  <c r="AC19" i="1"/>
  <c r="AB19" i="1"/>
  <c r="AA19" i="1"/>
  <c r="AD18" i="1"/>
  <c r="AC18" i="1"/>
  <c r="AB18" i="1"/>
  <c r="AA18" i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D14" i="1"/>
  <c r="AC14" i="1"/>
  <c r="AB14" i="1"/>
  <c r="AA14" i="1"/>
  <c r="AD13" i="1"/>
  <c r="AC13" i="1"/>
  <c r="AB13" i="1"/>
  <c r="AA13" i="1"/>
  <c r="AD12" i="1"/>
  <c r="AC12" i="1"/>
  <c r="AB12" i="1"/>
  <c r="AA12" i="1"/>
  <c r="AD11" i="1"/>
  <c r="AC11" i="1"/>
  <c r="AB11" i="1"/>
  <c r="AA11" i="1"/>
  <c r="AD10" i="1"/>
  <c r="AC10" i="1"/>
  <c r="AB10" i="1"/>
  <c r="AA10" i="1"/>
  <c r="AD9" i="1"/>
  <c r="AF7" i="1" s="1"/>
  <c r="AC9" i="1"/>
  <c r="AB9" i="1"/>
  <c r="AA9" i="1"/>
  <c r="AE7" i="1"/>
  <c r="AA4" i="1"/>
  <c r="E108" i="1" l="1"/>
  <c r="E114" i="1"/>
  <c r="E70" i="1"/>
  <c r="E7" i="1"/>
  <c r="AB4" i="1"/>
  <c r="C4" i="1" s="1"/>
  <c r="AE45" i="1"/>
  <c r="E45" i="1" s="1"/>
  <c r="AE99" i="1"/>
  <c r="E99" i="1" s="1"/>
  <c r="AE146" i="1"/>
  <c r="E146" i="1" s="1"/>
  <c r="AE183" i="1"/>
  <c r="E183" i="1" s="1"/>
</calcChain>
</file>

<file path=xl/sharedStrings.xml><?xml version="1.0" encoding="utf-8"?>
<sst xmlns="http://schemas.openxmlformats.org/spreadsheetml/2006/main" count="307" uniqueCount="302">
  <si>
    <t xml:space="preserve"> Quality Assurance Center </t>
  </si>
  <si>
    <t xml:space="preserve">Oman Healthcare Accrediation System </t>
  </si>
  <si>
    <t xml:space="preserve">Self Assessment Tool (SAT) </t>
  </si>
  <si>
    <t>Chapter 4</t>
  </si>
  <si>
    <t>Specialized Medical Care Services (SMCS)</t>
  </si>
  <si>
    <t>Conformity Level</t>
  </si>
  <si>
    <t xml:space="preserve">Evidence </t>
  </si>
  <si>
    <t xml:space="preserve">Comments </t>
  </si>
  <si>
    <t>Operation Theatre</t>
  </si>
  <si>
    <t>SMCS.56</t>
  </si>
  <si>
    <t>The hospital a system to guide patient acceptance into the operation room</t>
  </si>
  <si>
    <t>Total Measures: 18</t>
  </si>
  <si>
    <t>SMCS.56.a</t>
  </si>
  <si>
    <t xml:space="preserve">The hospital has policies and procedures to guide acceptance of patients into operation rooms, including but is not limited to:  </t>
  </si>
  <si>
    <t xml:space="preserve">
• .  blood reserved in blood bank, if needed.
• Ensure correct patient, correct surgery, and correct site.
• Handling laboratory specimens in operation room.</t>
  </si>
  <si>
    <t>1.     Patient is scheduled in the list.</t>
  </si>
  <si>
    <t>2.     Patient identification by name, medical record number with patient ID band</t>
  </si>
  <si>
    <t>3.     Complete consent form.</t>
  </si>
  <si>
    <t>4.     Surgical site marking and its preparation.</t>
  </si>
  <si>
    <t>5.    The operation/procedure name plus surgeon name are checked</t>
  </si>
  <si>
    <t>6.      Documented Pre -Anesthesia Checkup (PAC).</t>
  </si>
  <si>
    <t>7.     Complete pre-anesthesia form.</t>
  </si>
  <si>
    <t>8.     Documented pre-operative assessment by surgeons</t>
  </si>
  <si>
    <t>9.    Handover process all transition points.</t>
  </si>
  <si>
    <t>10   The complete physical, and medical history are check and documentation</t>
  </si>
  <si>
    <t>11.   Infection control measurement for patient in operation room</t>
  </si>
  <si>
    <t>12- The radiology and laboratory result.</t>
  </si>
  <si>
    <t>13- The complete physical and medical history</t>
  </si>
  <si>
    <t>14-  The requisition of blood and blood product is verified to ensure blood reserved in blood bank, if needed.</t>
  </si>
  <si>
    <t>15- Handling laboratory specimens in operation room.</t>
  </si>
  <si>
    <t>16- The availability of resources (Blood, ICU or high dependency bed, materials, equipment and human resources).</t>
  </si>
  <si>
    <t>SMCS.56.b</t>
  </si>
  <si>
    <r>
      <rPr>
        <sz val="14"/>
        <color theme="1"/>
        <rFont val="Times New Roman"/>
        <charset val="134"/>
      </rPr>
      <t>The polices are developed by OT multidisciplinary teams including surgeons, nurses, anesthesia, and approved by head of the department.</t>
    </r>
    <r>
      <rPr>
        <b/>
        <sz val="12"/>
        <color rgb="FF000000"/>
        <rFont val="Times New Roman"/>
        <charset val="134"/>
      </rPr>
      <t xml:space="preserve"> </t>
    </r>
  </si>
  <si>
    <t>SMCS.56.c</t>
  </si>
  <si>
    <t xml:space="preserve">There is regular quality audit to ensure compliance to the policy. </t>
  </si>
  <si>
    <t>SMCS.57</t>
  </si>
  <si>
    <t>The Operation Theater has standardized pre-operative Checklist for safe surgery.</t>
  </si>
  <si>
    <t>Total Measures: 16</t>
  </si>
  <si>
    <t>SMCS.57.a</t>
  </si>
  <si>
    <t>The hospital has a pre-operative checklist that is completed and singed by a nurse, which includes:  pre-operative checklist at least includes:</t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</si>
  <si>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Patient identification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</si>
  <si>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Informed consent.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</si>
  <si>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Surgical site preparation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</si>
  <si>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Surgical site marking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</si>
  <si>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Last food and drink time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</si>
  <si>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Vital sings.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</si>
  <si>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Removal of jewelries, dentures, contact lenses.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</si>
  <si>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Bowel preparation and bladder emptying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</si>
  <si>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Premedication if required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</si>
  <si>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Allergic status.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</si>
  <si>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Availability of results of diagnostic tests (radiology, laboratory …. etc.)                     reported if required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</si>
  <si>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Antibiotic and VTE Prophylaxis if required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</si>
  <si>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Availability of requested blood or blood products</t>
    </r>
  </si>
  <si>
    <t>SMCS.57.b</t>
  </si>
  <si>
    <t xml:space="preserve">All department concerned staff are oriented and trained on their responsibilities toward the pre-operative procedures and checklist. </t>
  </si>
  <si>
    <t>SMCS.57.c</t>
  </si>
  <si>
    <t>A standardized communication process is used for handing over patient to Operation Theatre.</t>
  </si>
  <si>
    <t>SMCS.57.d</t>
  </si>
  <si>
    <t xml:space="preserve">Department leaders ensure that all staff are oriented and competent on using the per-op checklist. </t>
  </si>
  <si>
    <t>SMCS.58</t>
  </si>
  <si>
    <t>The Operation Theatre has a guideline for surgical list management.</t>
  </si>
  <si>
    <t>Total Measures: 17</t>
  </si>
  <si>
    <t>SMCS.58.a</t>
  </si>
  <si>
    <t>The hospital has clear guidelines for scheduling and cancellation of elective, day care and emergency cases.</t>
  </si>
  <si>
    <t>SMCS.58.b</t>
  </si>
  <si>
    <t xml:space="preserve">All concerned staff are aware of these guidelines. </t>
  </si>
  <si>
    <t>SMCS.58.c</t>
  </si>
  <si>
    <t>Required information for scheduling a surgical procedure include the following</t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</si>
  <si>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Date preferred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</si>
  <si>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Time preferred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</si>
  <si>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Team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</si>
  <si>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Procedure name (including side as applicable)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</si>
  <si>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Specific equipment needs (including implants)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</si>
  <si>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Estimate procedure time required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</si>
  <si>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Inpatient /Outpatient Status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</si>
  <si>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Anesthesia type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</si>
  <si>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          Diagnosis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</si>
  <si>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Patient Information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</si>
  <si>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Classification of surgery</t>
    </r>
  </si>
  <si>
    <t>SMCS.58.d</t>
  </si>
  <si>
    <t>Surgical waiting lists are regularly monitored and updated, and clients are kept informed about the anticipated date of their scheduled procedure.</t>
  </si>
  <si>
    <t>SMCS.58.e</t>
  </si>
  <si>
    <t>The operation Theatre follows performance indicators to monitor Theatre utilization at least include:</t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</si>
  <si>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Starting first case time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</si>
  <si>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Cancellation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</si>
  <si>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          Waiting list</t>
    </r>
  </si>
  <si>
    <t>SMCS.59</t>
  </si>
  <si>
    <t>All operating Theatres apply evidenced-based surgical safety checklist for all the patients.</t>
  </si>
  <si>
    <t>Total Measures: 4</t>
  </si>
  <si>
    <t>SMCS.59.a</t>
  </si>
  <si>
    <t>The hospital has a standardized surgical safety checklist strategy.</t>
  </si>
  <si>
    <t>SMCS.59.b</t>
  </si>
  <si>
    <t>Hospital staffs are trained on implementing surgical safety checklist.</t>
  </si>
  <si>
    <t>SMCS.59.c</t>
  </si>
  <si>
    <t>Surgical safety checklist is used for every patient undergoing surgical procedure</t>
  </si>
  <si>
    <t>SMCS.59.d</t>
  </si>
  <si>
    <t xml:space="preserve">There is regular audit conducted to ensure proper implementation </t>
  </si>
  <si>
    <t>SMCS.60</t>
  </si>
  <si>
    <t>The hospital has a process to prevent Wrong-patient, Wrong surgery/ procedure, and Wrong-site.</t>
  </si>
  <si>
    <t>Total Measures: 8</t>
  </si>
  <si>
    <t>SMCS.60.a</t>
  </si>
  <si>
    <t>The hospital implements a clear standardized process to prevent wrong patients, wrong sites, and wrong surgery/ procedure for all invasive procedures performed in any operating/ procedure rooms. The process covers three phases: verification, site marking, and time out.</t>
  </si>
  <si>
    <t>SMCS.60.b</t>
  </si>
  <si>
    <t xml:space="preserve">The verification of patient information as per the pre-operative checklist includes checking the identity of the patient, completing a consent form appropriate to the type of the procedure, description for the surgical procedure, laboratory or radiology image results. </t>
  </si>
  <si>
    <t>SMCS.60.c</t>
  </si>
  <si>
    <t xml:space="preserve">The team use consistent marking process for all invasive and surgical procedure sites throughout the hospital. </t>
  </si>
  <si>
    <t>SMCS.60.d</t>
  </si>
  <si>
    <t xml:space="preserve">The procedure/ surgical site is marked by the healthcare staff that will perform the procedure. </t>
  </si>
  <si>
    <t>SMCS.60.e</t>
  </si>
  <si>
    <t xml:space="preserve">The patient is involved in the marking process. </t>
  </si>
  <si>
    <t>SMCS.60.f</t>
  </si>
  <si>
    <t xml:space="preserve">The time-out process is implemented is just before the procedure/surgery is initiated, to ensure the correct site, correct procedure/ surgery, and correct patient surgery. </t>
  </si>
  <si>
    <t>SMCS.60.g</t>
  </si>
  <si>
    <t xml:space="preserve">All the surgical/ procedure teams use active communication process during the time out, to agree on the correct patient identity, correct procedure/surgery to be performed, correct site. </t>
  </si>
  <si>
    <t>SMCS.60.h</t>
  </si>
  <si>
    <t xml:space="preserve">All the process is documented in patient medical records. </t>
  </si>
  <si>
    <t>SMCS.61</t>
  </si>
  <si>
    <t xml:space="preserve">Hospital has clear documented policies and procedures to direct the care in the operating Theatre. </t>
  </si>
  <si>
    <t>SMCS.61.a</t>
  </si>
  <si>
    <t xml:space="preserve">Hospital operating room has policies and procedures that guide the care of patients that include, but is not limited to:  </t>
  </si>
  <si>
    <t>1.     Informed consent</t>
  </si>
  <si>
    <t>2.     Pre-operative checklist</t>
  </si>
  <si>
    <t>3.     Handover process between unit nurse and operating room nurse</t>
  </si>
  <si>
    <t>4.     Prevention of wrong patient, wrong surgery, wrong site</t>
  </si>
  <si>
    <t>5.     Preparation of patient for surgery</t>
  </si>
  <si>
    <t>6.     Handling patients with infectious diseases.</t>
  </si>
  <si>
    <t>7.     Infection control measure in the operating room</t>
  </si>
  <si>
    <t>8.     Management and handling equipment, and periodic checks.</t>
  </si>
  <si>
    <t>9.     Management and transport of patients’ laboratory samples.</t>
  </si>
  <si>
    <t xml:space="preserve">10.  Safe handling of common used chemicals, and hazardous materials in the OT. </t>
  </si>
  <si>
    <t xml:space="preserve">11.  Safe handling, storage and management of blood and blood products. </t>
  </si>
  <si>
    <t>12.  Fire safety.</t>
  </si>
  <si>
    <t>13.  Waste management</t>
  </si>
  <si>
    <t>14.  Management of visitors to the operation Theatre, etc.</t>
  </si>
  <si>
    <t>15.  Operating Theatre response to disaster effectively</t>
  </si>
  <si>
    <t>SSMCS.61.b</t>
  </si>
  <si>
    <t xml:space="preserve">All policies and procedures are consistent with the hospital and MoH regulations. </t>
  </si>
  <si>
    <t>SSMCS.61.c</t>
  </si>
  <si>
    <t>All operation room concerned staff are well oriented on all OR policies and procedures.</t>
  </si>
  <si>
    <t>SMCS.61.d</t>
  </si>
  <si>
    <t xml:space="preserve">There is regular audit and monitor the compliance to the policies. </t>
  </si>
  <si>
    <t>SMCS.62</t>
  </si>
  <si>
    <t xml:space="preserve">Operation Theatre has a standardized process to prevent accidental retention of instruments and sponges in the surgical wound. </t>
  </si>
  <si>
    <t>SMCS.62.a</t>
  </si>
  <si>
    <t xml:space="preserve">The hospital implements clear guidelines for surgical count. </t>
  </si>
  <si>
    <t>SMCS.62.b</t>
  </si>
  <si>
    <t xml:space="preserve">The hospital had a develop process and implements to prevent inattentive retention of instrument or sponges in surgical wound. </t>
  </si>
  <si>
    <t>SMCS.62.c</t>
  </si>
  <si>
    <t>The count process includes items used during surgery such as instrument, sponges, sharps, and other as applicable.</t>
  </si>
  <si>
    <t>SMCS.62.d</t>
  </si>
  <si>
    <t>The policy addresses the procedure to follow in case of a count inconsistency.</t>
  </si>
  <si>
    <t xml:space="preserve">The count process is standardized. </t>
  </si>
  <si>
    <t>SMCS.62.f</t>
  </si>
  <si>
    <t xml:space="preserve">The count process is clearly documented in the count sheet. </t>
  </si>
  <si>
    <t>SMCS.62.g</t>
  </si>
  <si>
    <r>
      <rPr>
        <sz val="14"/>
        <color theme="1"/>
        <rFont val="Times New Roman"/>
        <charset val="134"/>
      </rPr>
      <t>All staff in OT are trained on the guidelines for surgical count</t>
    </r>
    <r>
      <rPr>
        <b/>
        <sz val="12"/>
        <color theme="1"/>
        <rFont val="Times New Roman"/>
        <charset val="134"/>
      </rPr>
      <t xml:space="preserve">. </t>
    </r>
  </si>
  <si>
    <t>SMCS.62.h</t>
  </si>
  <si>
    <t xml:space="preserve">There is regular audit and monitor the compliance </t>
  </si>
  <si>
    <t>SMCS.63</t>
  </si>
  <si>
    <t>Operation Theatre implements process for collecting, safe handling, and dispatch of specimens.</t>
  </si>
  <si>
    <t>Total Measures: 5</t>
  </si>
  <si>
    <t>SMCS.63.a</t>
  </si>
  <si>
    <t>The OT has clear written guidelines that guide proper, safe handling of specimens.</t>
  </si>
  <si>
    <t>SMCS.63.b</t>
  </si>
  <si>
    <r>
      <rPr>
        <sz val="14"/>
        <color theme="1"/>
        <rFont val="Times New Roman"/>
        <charset val="134"/>
      </rPr>
      <t>All</t>
    </r>
    <r>
      <rPr>
        <b/>
        <sz val="12"/>
        <color theme="1"/>
        <rFont val="Times New Roman"/>
        <charset val="134"/>
      </rPr>
      <t xml:space="preserve"> </t>
    </r>
    <r>
      <rPr>
        <sz val="12"/>
        <color theme="1"/>
        <rFont val="Times New Roman"/>
        <charset val="134"/>
      </rPr>
      <t>staff are oriented with the guidelines.</t>
    </r>
    <r>
      <rPr>
        <b/>
        <sz val="12"/>
        <color theme="1"/>
        <rFont val="Times New Roman"/>
        <charset val="134"/>
      </rPr>
      <t xml:space="preserve"> </t>
    </r>
  </si>
  <si>
    <t>SMCS.63.c</t>
  </si>
  <si>
    <t>The hospital has a protocol to deal with mislabeling errors or loss of specimens.</t>
  </si>
  <si>
    <t>SMCS.63.d</t>
  </si>
  <si>
    <t>There is recipient notification when the specimen reaches the intended study lab.</t>
  </si>
  <si>
    <t>SMCS.63.e</t>
  </si>
  <si>
    <t xml:space="preserve">There is regular audit conducted to monitor compliance to the guideline. </t>
  </si>
  <si>
    <t>SMCS.64</t>
  </si>
  <si>
    <t>Post-operative report is documented immediately after surgery.</t>
  </si>
  <si>
    <t>Total Measures: 11</t>
  </si>
  <si>
    <t>SMCS.64.a</t>
  </si>
  <si>
    <t xml:space="preserve">There is always documented operative report about the surgery that covers the following: </t>
  </si>
  <si>
    <t>1.     Pre and post-operative diagnosis.</t>
  </si>
  <si>
    <t xml:space="preserve">2.     The operation/ procedures performed and </t>
  </si>
  <si>
    <t xml:space="preserve">3.     description of procedure findings;  </t>
  </si>
  <si>
    <t xml:space="preserve">4.     Perioperative complications;  </t>
  </si>
  <si>
    <t xml:space="preserve">5.     Name of surgical team </t>
  </si>
  <si>
    <t xml:space="preserve">6.     Amount of blood lost. </t>
  </si>
  <si>
    <t xml:space="preserve">7.     Intraoperative complications. </t>
  </si>
  <si>
    <t xml:space="preserve">8.     Amount of blood loss and amount of transfused blood; </t>
  </si>
  <si>
    <t xml:space="preserve">9.     Registry number of all implantable devices; and  </t>
  </si>
  <si>
    <t>10.  Date, time, and signature of responsible physician</t>
  </si>
  <si>
    <t xml:space="preserve">11.  Surgical specimens sent for examination; </t>
  </si>
  <si>
    <t>SMCS.64.b</t>
  </si>
  <si>
    <t>The operative report is completed by responsible surgeon before patient leaves the recovery room to facilitate continuity for patient care</t>
  </si>
  <si>
    <t>SMCS.64.c</t>
  </si>
  <si>
    <t xml:space="preserve">The report is signed by the surgeon who performed the surgery. </t>
  </si>
  <si>
    <t>SMCS.65</t>
  </si>
  <si>
    <t xml:space="preserve">Each patient has individual post-operative care plan, and continuously monitored and managed. </t>
  </si>
  <si>
    <t>Total Measures: 15</t>
  </si>
  <si>
    <t xml:space="preserve">SMCS.65.a </t>
  </si>
  <si>
    <t>Operation Theatre has implemented guidelines for post-operative care starting from recovery room, to the ward</t>
  </si>
  <si>
    <t>SMCS.65.b</t>
  </si>
  <si>
    <t>Patient has clear post-operative plan, written by the surgeon responsible. The plan may include:</t>
  </si>
  <si>
    <r>
      <rPr>
        <sz val="14"/>
        <rFont val="Calibri"/>
        <charset val="134"/>
        <scheme val="minor"/>
      </rPr>
      <t>-</t>
    </r>
    <r>
      <rPr>
        <sz val="14"/>
        <rFont val="Times New Roman"/>
        <charset val="134"/>
      </rPr>
      <t>       Wound care</t>
    </r>
  </si>
  <si>
    <r>
      <rPr>
        <sz val="14"/>
        <rFont val="Calibri"/>
        <charset val="134"/>
        <scheme val="minor"/>
      </rPr>
      <t>-</t>
    </r>
    <r>
      <rPr>
        <sz val="14"/>
        <rFont val="Times New Roman"/>
        <charset val="134"/>
      </rPr>
      <t xml:space="preserve">       Drains </t>
    </r>
  </si>
  <si>
    <r>
      <rPr>
        <sz val="14"/>
        <rFont val="Calibri"/>
        <charset val="134"/>
        <scheme val="minor"/>
      </rPr>
      <t>-</t>
    </r>
    <r>
      <rPr>
        <sz val="14"/>
        <rFont val="Times New Roman"/>
        <charset val="134"/>
      </rPr>
      <t xml:space="preserve">       Vital signs monitoring </t>
    </r>
  </si>
  <si>
    <r>
      <rPr>
        <sz val="14"/>
        <rFont val="Calibri"/>
        <charset val="134"/>
        <scheme val="minor"/>
      </rPr>
      <t>-</t>
    </r>
    <r>
      <rPr>
        <sz val="14"/>
        <rFont val="Times New Roman"/>
        <charset val="134"/>
      </rPr>
      <t>       Pain management</t>
    </r>
  </si>
  <si>
    <r>
      <rPr>
        <sz val="14"/>
        <rFont val="Calibri"/>
        <charset val="134"/>
        <scheme val="minor"/>
      </rPr>
      <t>-</t>
    </r>
    <r>
      <rPr>
        <sz val="14"/>
        <rFont val="Times New Roman"/>
        <charset val="134"/>
      </rPr>
      <t>       Special positioning</t>
    </r>
  </si>
  <si>
    <r>
      <rPr>
        <sz val="14"/>
        <rFont val="Calibri"/>
        <charset val="134"/>
        <scheme val="minor"/>
      </rPr>
      <t>-</t>
    </r>
    <r>
      <rPr>
        <sz val="14"/>
        <rFont val="Times New Roman"/>
        <charset val="134"/>
      </rPr>
      <t>       Nutritional instructions</t>
    </r>
  </si>
  <si>
    <r>
      <rPr>
        <sz val="14"/>
        <rFont val="Calibri"/>
        <charset val="134"/>
        <scheme val="minor"/>
      </rPr>
      <t>-</t>
    </r>
    <r>
      <rPr>
        <sz val="14"/>
        <rFont val="Times New Roman"/>
        <charset val="134"/>
      </rPr>
      <t>       Post-operative care follow up</t>
    </r>
  </si>
  <si>
    <r>
      <rPr>
        <sz val="14"/>
        <rFont val="Calibri"/>
        <charset val="134"/>
        <scheme val="minor"/>
      </rPr>
      <t>-</t>
    </r>
    <r>
      <rPr>
        <sz val="14"/>
        <rFont val="Times New Roman"/>
        <charset val="134"/>
      </rPr>
      <t>       Time to start mobilization</t>
    </r>
  </si>
  <si>
    <r>
      <rPr>
        <sz val="14"/>
        <rFont val="Calibri"/>
        <charset val="134"/>
        <scheme val="minor"/>
      </rPr>
      <t>-</t>
    </r>
    <r>
      <rPr>
        <sz val="14"/>
        <rFont val="Times New Roman"/>
        <charset val="134"/>
      </rPr>
      <t xml:space="preserve">       Any other recommendations or referrals. </t>
    </r>
  </si>
  <si>
    <t>SMCS.65.c</t>
  </si>
  <si>
    <t>In recovery room, patient is properly monitored for sedation, bleeding, any other complications, before moving to recommended unit.</t>
  </si>
  <si>
    <t>SMCS.65.d</t>
  </si>
  <si>
    <t xml:space="preserve">Patient is assessed for pain is assessed by the most responsible physician, and provided with adequate pain relief </t>
  </si>
  <si>
    <t>SMCS.65.e</t>
  </si>
  <si>
    <t xml:space="preserve">Patient is assessed and reassessed at agreed intervals applicable to patient’s condition </t>
  </si>
  <si>
    <t>SMCS.65.f</t>
  </si>
  <si>
    <t xml:space="preserve">The treating team documents all information, interventions and recommendation in the patient’s medical record </t>
  </si>
  <si>
    <t>SMCS.65.g</t>
  </si>
  <si>
    <t xml:space="preserve">Regular audit is conducted to compliance to the guideline, and documentations. </t>
  </si>
  <si>
    <t>SMCS.66</t>
  </si>
  <si>
    <t xml:space="preserve">
Operation Theatre has clear process to ensure patient is discharged safely from operation room.
</t>
  </si>
  <si>
    <t>Total Measures: 7</t>
  </si>
  <si>
    <t>SMCS.66.a</t>
  </si>
  <si>
    <t>The OT has written guideline with clear criteria for the discharge or transfer of patients from recovery room or post-anaesthesia unit.</t>
  </si>
  <si>
    <t>SMCS.66.b</t>
  </si>
  <si>
    <t xml:space="preserve">All the recovery room or PACU staff are familiar with the guide </t>
  </si>
  <si>
    <t>SMCS.66.c</t>
  </si>
  <si>
    <t>Patients are discharged when they meet discharge criteria</t>
  </si>
  <si>
    <t>SMCS.66.d</t>
  </si>
  <si>
    <t>Patients are discharged by qualified anesthesiologists.</t>
  </si>
  <si>
    <t>SMCS.66.e</t>
  </si>
  <si>
    <t xml:space="preserve">Patient's  condition is communicated with receiving area before transferring the patient </t>
  </si>
  <si>
    <t>SMCS.66.f</t>
  </si>
  <si>
    <t xml:space="preserve">OT nurses prepare all equipment and devices required for patient transfer. </t>
  </si>
  <si>
    <t>SMCS.66.g</t>
  </si>
  <si>
    <t>A summary of the patient’s care and follow up is documented in the patient’s record</t>
  </si>
  <si>
    <t>SMCS. 67</t>
  </si>
  <si>
    <t>The operation theatre implements various approaches to maintain competency of the unit staff.</t>
  </si>
  <si>
    <t>Total Measures: 10</t>
  </si>
  <si>
    <t xml:space="preserve">SMCS.67.a </t>
  </si>
  <si>
    <t>The operation Theatre has a specific orientation program and training for all newly joining nursing staff, with a written orientation checklist. The program alligns with the hospital generic orientation program.</t>
  </si>
  <si>
    <t>SMCS.67.b</t>
  </si>
  <si>
    <t>All unit nursing staff receive required training and education on operation theatre, including but not limited to:</t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</si>
  <si>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Policies and procedures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</si>
  <si>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Safety usage and maintenance of instruments and equipment. 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</si>
  <si>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Infection control measures.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</si>
  <si>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 xml:space="preserve">      Environmental safety (electrical, fire plan, Hazmat, etc. 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</si>
  <si>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Management of  visitors to the operation theatre</t>
    </r>
  </si>
  <si>
    <r>
      <rPr>
        <sz val="14"/>
        <rFont val="Symbol"/>
        <charset val="2"/>
      </rPr>
      <t>·</t>
    </r>
    <r>
      <rPr>
        <sz val="14"/>
        <rFont val="Times New Roman"/>
        <charset val="134"/>
      </rPr>
      <t>      Operating Theatre response to disaster effectively</t>
    </r>
  </si>
  <si>
    <t>SMCS.67.c</t>
  </si>
  <si>
    <t>The unit has an annual training plan to ensure proper coverage of the staff in different courses.</t>
  </si>
  <si>
    <t>SMCS.67.d</t>
  </si>
  <si>
    <t xml:space="preserve">The staff performance is monitored through a competency checklist. </t>
  </si>
  <si>
    <t>SMCS.67.e</t>
  </si>
  <si>
    <t xml:space="preserve">The staff competency assessment is documented and kept in the staff's file.    </t>
  </si>
  <si>
    <t>SMCS.68</t>
  </si>
  <si>
    <t>The hospital has a standardized operating theatre design.</t>
  </si>
  <si>
    <t xml:space="preserve">SMCS.68.a </t>
  </si>
  <si>
    <t>The operation Theatre has a standardized design that includes a reception area, operation Theatre suites according to the scope of service and needs for the hospital), a recovery bay for post-operative patients, with provisions for other special rooms required.</t>
  </si>
  <si>
    <t xml:space="preserve">SMCS.68.b </t>
  </si>
  <si>
    <t xml:space="preserve">The department has three levels of access that include unrestricted, restricted and semi restricted area. </t>
  </si>
  <si>
    <t>SMCS.68.c</t>
  </si>
  <si>
    <t>The department has standardized operating rooms that include standardized ventilation system and basic equipment / machines.</t>
  </si>
  <si>
    <t>SMCS.68.d</t>
  </si>
  <si>
    <t>All corridors are kept free of any materials to ensure free patient flow at all times.</t>
  </si>
  <si>
    <t>SMCS.69</t>
  </si>
  <si>
    <t xml:space="preserve">
Operation Theatre strictly follows and supervises infection control and prevention standards. 
</t>
  </si>
  <si>
    <t>SMCS.69.a</t>
  </si>
  <si>
    <t xml:space="preserve">The Operation Theatre follows hospital infection control and prevention guidelines. </t>
  </si>
  <si>
    <t>SMCS.69.b</t>
  </si>
  <si>
    <t xml:space="preserve">All OT staff are well trained and oriented to the infection control guidelines applied to OT. </t>
  </si>
  <si>
    <t>SMCS.69.c</t>
  </si>
  <si>
    <t xml:space="preserve">The operation Theatre is always maintained clean all the time </t>
  </si>
  <si>
    <t>SMCS.69.d</t>
  </si>
  <si>
    <t>Standard precautions are strictly followed in the operating rooms with  a strict emphasis on the hand hygiene and appropriate PPEs and other barriers.</t>
  </si>
  <si>
    <t>SMCS.69.e</t>
  </si>
  <si>
    <t xml:space="preserve">There is clear guide to control traffic and movement in the operating room. </t>
  </si>
  <si>
    <t>SMCS.69.f</t>
  </si>
  <si>
    <t xml:space="preserve">The OT has positive pressure with respect to corridors. </t>
  </si>
  <si>
    <t>SMCS.69.g</t>
  </si>
  <si>
    <t>Operating room scrubs suits are only allowed inside the restricted areas of the OT.</t>
  </si>
  <si>
    <t>SMCS.69.h</t>
  </si>
  <si>
    <t>There are clear guidelines for cleaning and disinfecting operating rooms by cleaners, after each surgical procedure.</t>
  </si>
  <si>
    <t>SMCS.69.i</t>
  </si>
  <si>
    <t xml:space="preserve">There is clear guideline for cleaning and disinfecting equipment. </t>
  </si>
  <si>
    <t>SMCS.69.j</t>
  </si>
  <si>
    <t>Patients with infectious diseases are handled properly inside the operating rooms.</t>
  </si>
  <si>
    <t>SMCS.69.k</t>
  </si>
  <si>
    <t>There is regular audit to assess compliance to those guidelines.</t>
  </si>
  <si>
    <t>SMCS.70</t>
  </si>
  <si>
    <t>Operation Theatre strictly follows hospital fire safety plan</t>
  </si>
  <si>
    <t>Total Measures: 6</t>
  </si>
  <si>
    <t>SMCS.70.a</t>
  </si>
  <si>
    <t>The OT follows hospital operating fire safety plan</t>
  </si>
  <si>
    <t>SMCS.70.b</t>
  </si>
  <si>
    <t>All OT staff are periodically trained and oriented on the fire safety plan</t>
  </si>
  <si>
    <t>SMCS.70.c</t>
  </si>
  <si>
    <t xml:space="preserve">The team follows proper methods or rescue and escape </t>
  </si>
  <si>
    <t>SMCS.70.d</t>
  </si>
  <si>
    <t xml:space="preserve">There is regular fire drill where the OT staff participate </t>
  </si>
  <si>
    <t>SMCS.70.e</t>
  </si>
  <si>
    <t xml:space="preserve">Fire-fighting equipment are available and staff trained on using it. </t>
  </si>
  <si>
    <t>SMCS.70.f</t>
  </si>
  <si>
    <t xml:space="preserve">All equipment or instruments that may cause fire or harm to patients are stored in places away from patients when are on active 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</si>
</sst>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Calibri"/>
      <charset val="134"/>
      <scheme val="minor"/>
    </font>
    <font>
      <b/>
      <sz val="16"/>
      <color rgb="FF000000"/>
      <name val="Times New Roman"/>
      <charset val="134"/>
    </font>
    <font>
      <sz val="12"/>
      <color rgb="FF000000"/>
      <name val="Calibri"/>
      <charset val="134"/>
      <scheme val="minor"/>
    </font>
    <font>
      <b/>
      <sz val="22"/>
      <color rgb="FF000000"/>
      <name val="Times New Roman"/>
      <charset val="134"/>
    </font>
    <font>
      <sz val="11"/>
      <color rgb="FF9C6500"/>
      <name val="Calibri"/>
      <charset val="134"/>
      <scheme val="minor"/>
    </font>
    <font>
      <b/>
      <sz val="22"/>
      <color rgb="FFC00000"/>
      <name val="Times New Roman"/>
      <charset val="134"/>
    </font>
    <font>
      <b/>
      <sz val="14"/>
      <name val="Times New Roman"/>
      <charset val="134"/>
    </font>
    <font>
      <b/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sz val="16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4"/>
      <name val="Times New Roman"/>
      <charset val="134"/>
    </font>
    <font>
      <sz val="16"/>
      <color theme="1"/>
      <name val="Calibri"/>
      <charset val="134"/>
      <scheme val="minor"/>
    </font>
    <font>
      <sz val="14"/>
      <name val="Symbol"/>
      <charset val="2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4"/>
      <name val="Calibri"/>
      <charset val="134"/>
      <scheme val="minor"/>
    </font>
    <font>
      <sz val="18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3" fillId="4" borderId="5" xfId="0" applyFont="1" applyFill="1" applyBorder="1" applyAlignment="1">
      <alignment horizontal="center" vertical="center"/>
    </xf>
    <xf numFmtId="0" fontId="5" fillId="5" borderId="6" xfId="1" applyFont="1" applyBorder="1" applyAlignment="1">
      <alignment horizontal="center" vertical="center"/>
    </xf>
    <xf numFmtId="0" fontId="5" fillId="5" borderId="5" xfId="1" applyFont="1" applyBorder="1" applyAlignment="1">
      <alignment horizontal="center" vertical="center"/>
    </xf>
    <xf numFmtId="0" fontId="5" fillId="5" borderId="7" xfId="1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vertical="center"/>
    </xf>
    <xf numFmtId="0" fontId="7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 wrapText="1"/>
    </xf>
    <xf numFmtId="0" fontId="10" fillId="9" borderId="13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10" fillId="10" borderId="8" xfId="0" applyFont="1" applyFill="1" applyBorder="1" applyAlignment="1">
      <alignment vertical="center" wrapText="1"/>
    </xf>
    <xf numFmtId="0" fontId="11" fillId="11" borderId="8" xfId="0" applyFont="1" applyFill="1" applyBorder="1" applyAlignment="1">
      <alignment vertical="center" wrapText="1"/>
    </xf>
    <xf numFmtId="0" fontId="0" fillId="11" borderId="13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11" borderId="14" xfId="0" applyFill="1" applyBorder="1" applyAlignment="1">
      <alignment horizontal="center" wrapText="1"/>
    </xf>
    <xf numFmtId="0" fontId="12" fillId="12" borderId="8" xfId="0" applyFont="1" applyFill="1" applyBorder="1" applyAlignment="1">
      <alignment horizontal="left" vertical="center" wrapText="1" indent="1"/>
    </xf>
    <xf numFmtId="0" fontId="13" fillId="0" borderId="8" xfId="0" applyFont="1" applyBorder="1" applyProtection="1">
      <protection locked="0"/>
    </xf>
    <xf numFmtId="0" fontId="0" fillId="0" borderId="8" xfId="0" applyBorder="1" applyProtection="1">
      <protection locked="0"/>
    </xf>
    <xf numFmtId="0" fontId="10" fillId="10" borderId="12" xfId="0" applyFont="1" applyFill="1" applyBorder="1" applyAlignment="1">
      <alignment vertical="center" wrapText="1"/>
    </xf>
    <xf numFmtId="0" fontId="11" fillId="12" borderId="12" xfId="0" applyFont="1" applyFill="1" applyBorder="1" applyAlignment="1">
      <alignment horizontal="left" vertical="center" wrapText="1"/>
    </xf>
    <xf numFmtId="0" fontId="13" fillId="0" borderId="12" xfId="0" applyFont="1" applyBorder="1" applyAlignment="1" applyProtection="1">
      <alignment horizontal="center"/>
      <protection locked="0"/>
    </xf>
    <xf numFmtId="0" fontId="10" fillId="10" borderId="8" xfId="0" applyFont="1" applyFill="1" applyBorder="1" applyAlignment="1">
      <alignment vertical="center" wrapText="1"/>
    </xf>
    <xf numFmtId="0" fontId="11" fillId="12" borderId="8" xfId="0" applyFont="1" applyFill="1" applyBorder="1" applyAlignment="1">
      <alignment vertical="center" wrapText="1"/>
    </xf>
    <xf numFmtId="0" fontId="6" fillId="9" borderId="12" xfId="0" applyFont="1" applyFill="1" applyBorder="1" applyAlignment="1">
      <alignment horizontal="justify" vertical="center" wrapText="1"/>
    </xf>
    <xf numFmtId="0" fontId="6" fillId="10" borderId="8" xfId="0" applyFont="1" applyFill="1" applyBorder="1" applyAlignment="1">
      <alignment horizontal="justify" vertical="center" wrapText="1"/>
    </xf>
    <xf numFmtId="0" fontId="13" fillId="11" borderId="13" xfId="0" applyFont="1" applyFill="1" applyBorder="1" applyAlignment="1">
      <alignment horizontal="center"/>
    </xf>
    <xf numFmtId="0" fontId="13" fillId="11" borderId="15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14" fillId="12" borderId="8" xfId="0" applyFont="1" applyFill="1" applyBorder="1" applyAlignment="1">
      <alignment horizontal="left" vertical="center" wrapText="1"/>
    </xf>
    <xf numFmtId="0" fontId="14" fillId="12" borderId="12" xfId="0" applyFont="1" applyFill="1" applyBorder="1" applyAlignment="1">
      <alignment horizontal="left" vertical="center" wrapText="1"/>
    </xf>
    <xf numFmtId="0" fontId="6" fillId="10" borderId="8" xfId="0" applyFont="1" applyFill="1" applyBorder="1" applyAlignment="1">
      <alignment horizontal="justify" vertical="center" wrapText="1"/>
    </xf>
    <xf numFmtId="0" fontId="10" fillId="9" borderId="12" xfId="0" applyFont="1" applyFill="1" applyBorder="1" applyAlignment="1">
      <alignment vertical="center" wrapText="1"/>
    </xf>
    <xf numFmtId="0" fontId="6" fillId="9" borderId="12" xfId="0" applyFont="1" applyFill="1" applyBorder="1" applyAlignment="1">
      <alignment vertical="center" wrapText="1"/>
    </xf>
    <xf numFmtId="0" fontId="11" fillId="12" borderId="12" xfId="0" applyFont="1" applyFill="1" applyBorder="1" applyAlignment="1">
      <alignment vertical="center" wrapText="1"/>
    </xf>
    <xf numFmtId="0" fontId="13" fillId="0" borderId="12" xfId="0" applyFont="1" applyBorder="1" applyProtection="1">
      <protection locked="0"/>
    </xf>
    <xf numFmtId="0" fontId="9" fillId="13" borderId="12" xfId="0" applyFont="1" applyFill="1" applyBorder="1" applyAlignment="1">
      <alignment vertical="center" wrapText="1"/>
    </xf>
    <xf numFmtId="0" fontId="10" fillId="13" borderId="13" xfId="0" applyFont="1" applyFill="1" applyBorder="1" applyAlignment="1">
      <alignment horizontal="left" vertical="center"/>
    </xf>
    <xf numFmtId="0" fontId="10" fillId="13" borderId="14" xfId="0" applyFont="1" applyFill="1" applyBorder="1" applyAlignment="1">
      <alignment horizontal="left" vertical="center"/>
    </xf>
    <xf numFmtId="0" fontId="10" fillId="13" borderId="11" xfId="0" applyFont="1" applyFill="1" applyBorder="1" applyAlignment="1">
      <alignment horizontal="left" vertical="center"/>
    </xf>
    <xf numFmtId="0" fontId="9" fillId="10" borderId="8" xfId="0" applyFont="1" applyFill="1" applyBorder="1" applyAlignment="1">
      <alignment horizontal="justify" vertical="center" wrapText="1"/>
    </xf>
    <xf numFmtId="0" fontId="12" fillId="12" borderId="8" xfId="0" applyFont="1" applyFill="1" applyBorder="1" applyAlignment="1">
      <alignment vertical="center" wrapText="1"/>
    </xf>
    <xf numFmtId="0" fontId="6" fillId="9" borderId="12" xfId="0" applyFont="1" applyFill="1" applyBorder="1" applyAlignment="1">
      <alignment horizontal="left" vertical="center" wrapText="1"/>
    </xf>
    <xf numFmtId="0" fontId="12" fillId="11" borderId="8" xfId="0" applyFont="1" applyFill="1" applyBorder="1" applyAlignment="1">
      <alignment vertical="center" wrapText="1"/>
    </xf>
    <xf numFmtId="0" fontId="13" fillId="0" borderId="14" xfId="0" applyFont="1" applyBorder="1" applyProtection="1">
      <protection locked="0"/>
    </xf>
    <xf numFmtId="0" fontId="6" fillId="9" borderId="16" xfId="0" applyFont="1" applyFill="1" applyBorder="1" applyAlignment="1">
      <alignment horizontal="justify" vertical="center" wrapText="1"/>
    </xf>
    <xf numFmtId="0" fontId="11" fillId="12" borderId="8" xfId="0" applyFont="1" applyFill="1" applyBorder="1" applyAlignment="1">
      <alignment horizontal="justify" vertical="center" wrapText="1"/>
    </xf>
    <xf numFmtId="0" fontId="17" fillId="12" borderId="8" xfId="0" applyFont="1" applyFill="1" applyBorder="1" applyAlignment="1">
      <alignment horizontal="left" vertical="center" wrapText="1" indent="6"/>
    </xf>
    <xf numFmtId="0" fontId="6" fillId="10" borderId="12" xfId="0" applyFont="1" applyFill="1" applyBorder="1" applyAlignment="1">
      <alignment horizontal="left" vertical="center" wrapText="1"/>
    </xf>
    <xf numFmtId="0" fontId="14" fillId="12" borderId="8" xfId="0" applyFont="1" applyFill="1" applyBorder="1" applyAlignment="1">
      <alignment horizontal="left" vertical="center" wrapText="1" indent="3"/>
    </xf>
    <xf numFmtId="0" fontId="6" fillId="10" borderId="8" xfId="0" applyFont="1" applyFill="1" applyBorder="1" applyAlignment="1">
      <alignment horizontal="left" vertical="center" wrapText="1"/>
    </xf>
    <xf numFmtId="0" fontId="11" fillId="12" borderId="13" xfId="0" applyFont="1" applyFill="1" applyBorder="1" applyAlignment="1">
      <alignment vertical="center" wrapText="1"/>
    </xf>
    <xf numFmtId="0" fontId="18" fillId="14" borderId="17" xfId="0" applyFont="1" applyFill="1" applyBorder="1" applyAlignment="1" applyProtection="1">
      <alignment horizontal="center"/>
      <protection locked="0"/>
    </xf>
    <xf numFmtId="0" fontId="13" fillId="0" borderId="18" xfId="0" applyFont="1" applyBorder="1" applyProtection="1">
      <protection locked="0"/>
    </xf>
    <xf numFmtId="0" fontId="18" fillId="14" borderId="8" xfId="0" applyFont="1" applyFill="1" applyBorder="1" applyProtection="1">
      <protection locked="0"/>
    </xf>
    <xf numFmtId="0" fontId="18" fillId="14" borderId="8" xfId="0" applyFont="1" applyFill="1" applyBorder="1" applyAlignment="1" applyProtection="1">
      <alignment horizontal="center"/>
      <protection locked="0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F189"/>
  <sheetViews>
    <sheetView tabSelected="1" topLeftCell="A9" workbookViewId="0">
      <selection activeCell="C9" sqref="C9"/>
    </sheetView>
  </sheetViews>
  <sheetFormatPr defaultColWidth="9" defaultRowHeight="15.6"/>
  <cols>
    <col min="1" max="1" width="19.59765625" customWidth="1"/>
    <col min="2" max="2" width="60.09765625" customWidth="1"/>
    <col min="3" max="3" width="32" customWidth="1"/>
    <col min="4" max="5" width="70.59765625" customWidth="1"/>
    <col min="8" max="8" width="11.3984375" customWidth="1"/>
  </cols>
  <sheetData>
    <row r="1" spans="1:32" ht="20.399999999999999">
      <c r="A1" s="1" t="s">
        <v>0</v>
      </c>
      <c r="B1" s="2"/>
      <c r="C1" s="2"/>
      <c r="D1" s="2"/>
      <c r="E1" s="3"/>
    </row>
    <row r="2" spans="1:32" ht="20.399999999999999">
      <c r="A2" s="4" t="s">
        <v>1</v>
      </c>
      <c r="B2" s="5"/>
      <c r="C2" s="5"/>
      <c r="D2" s="5"/>
      <c r="E2" s="6"/>
    </row>
    <row r="3" spans="1:32" ht="20.399999999999999">
      <c r="A3" s="7" t="s">
        <v>2</v>
      </c>
      <c r="B3" s="8"/>
      <c r="C3" s="8"/>
      <c r="D3" s="8"/>
      <c r="E3" s="9"/>
    </row>
    <row r="4" spans="1:32" ht="28.2" thickBot="1">
      <c r="A4" s="10"/>
      <c r="B4" s="11"/>
      <c r="C4" s="12" t="str">
        <f>"Total Score: "&amp;ROUND((AA4/AB4)*100,2)&amp;"%"</f>
        <v>Total Score: 0%</v>
      </c>
      <c r="D4" s="13"/>
      <c r="E4" s="14"/>
      <c r="AA4">
        <f>SUM(AA7:AA189)+SUM(AB7:AB189)*0.5</f>
        <v>0</v>
      </c>
      <c r="AB4">
        <f>COUNT(AA7:AA189)-SUM(AB7:AD189)</f>
        <v>160</v>
      </c>
    </row>
    <row r="5" spans="1:32" ht="38.25" customHeight="1" thickTop="1" thickBot="1">
      <c r="A5" s="15" t="s">
        <v>3</v>
      </c>
      <c r="B5" s="16" t="s">
        <v>4</v>
      </c>
      <c r="C5" s="17" t="s">
        <v>5</v>
      </c>
      <c r="D5" s="18" t="s">
        <v>6</v>
      </c>
      <c r="E5" s="18" t="s">
        <v>7</v>
      </c>
    </row>
    <row r="6" spans="1:32" ht="48.75" customHeight="1" thickTop="1" thickBot="1">
      <c r="A6" s="19" t="s">
        <v>8</v>
      </c>
      <c r="B6" s="20"/>
      <c r="C6" s="20"/>
      <c r="D6" s="20"/>
      <c r="E6" s="21"/>
    </row>
    <row r="7" spans="1:32" ht="50.25" customHeight="1" thickTop="1" thickBot="1">
      <c r="A7" s="22" t="s">
        <v>9</v>
      </c>
      <c r="B7" s="22" t="s">
        <v>10</v>
      </c>
      <c r="C7" s="23" t="s">
        <v>11</v>
      </c>
      <c r="D7" s="24"/>
      <c r="E7" s="25" t="str">
        <f>"Quotation: "&amp;ROUND((AE7/AF7)*100,2)&amp;"%"</f>
        <v>Quotation: 0%</v>
      </c>
      <c r="AE7">
        <f>SUM(AA8:AA26)+SUM(AB8:AB26)*0.5</f>
        <v>0</v>
      </c>
      <c r="AF7">
        <f>COUNT(AA8:AA26)-SUM(AD8:AD26)</f>
        <v>18</v>
      </c>
    </row>
    <row r="8" spans="1:32" ht="55.2" thickTop="1" thickBot="1">
      <c r="A8" s="26" t="s">
        <v>12</v>
      </c>
      <c r="B8" s="27" t="s">
        <v>13</v>
      </c>
      <c r="C8" s="28" t="s">
        <v>14</v>
      </c>
      <c r="D8" s="29"/>
      <c r="E8" s="30"/>
    </row>
    <row r="9" spans="1:32" ht="22.2" thickTop="1" thickBot="1">
      <c r="A9" s="26"/>
      <c r="B9" s="31" t="s">
        <v>15</v>
      </c>
      <c r="C9" s="32"/>
      <c r="D9" s="33"/>
      <c r="E9" s="33"/>
      <c r="AA9">
        <f t="shared" ref="AA9:AA26" si="0">IF(C9="Met",1,0)</f>
        <v>0</v>
      </c>
      <c r="AB9">
        <f t="shared" ref="AB9:AB26" si="1">IF(C9="Partially Met",1,0)</f>
        <v>0</v>
      </c>
      <c r="AC9">
        <f t="shared" ref="AC9:AC26" si="2">IF(C9="UnMet",1,0)</f>
        <v>0</v>
      </c>
      <c r="AD9">
        <f t="shared" ref="AD9:AD26" si="3">IF(C9="Not Applicable",1,0)</f>
        <v>0</v>
      </c>
    </row>
    <row r="10" spans="1:32" ht="37.200000000000003" thickTop="1" thickBot="1">
      <c r="A10" s="26"/>
      <c r="B10" s="31" t="s">
        <v>16</v>
      </c>
      <c r="C10" s="32"/>
      <c r="D10" s="33"/>
      <c r="E10" s="33"/>
      <c r="AA10">
        <f t="shared" si="0"/>
        <v>0</v>
      </c>
      <c r="AB10">
        <f t="shared" si="1"/>
        <v>0</v>
      </c>
      <c r="AC10">
        <f t="shared" si="2"/>
        <v>0</v>
      </c>
      <c r="AD10">
        <f t="shared" si="3"/>
        <v>0</v>
      </c>
    </row>
    <row r="11" spans="1:32" ht="22.2" thickTop="1" thickBot="1">
      <c r="A11" s="26"/>
      <c r="B11" s="31" t="s">
        <v>17</v>
      </c>
      <c r="C11" s="32"/>
      <c r="D11" s="33"/>
      <c r="E11" s="33"/>
      <c r="AA11">
        <f t="shared" si="0"/>
        <v>0</v>
      </c>
      <c r="AB11">
        <f t="shared" si="1"/>
        <v>0</v>
      </c>
      <c r="AC11">
        <f t="shared" si="2"/>
        <v>0</v>
      </c>
      <c r="AD11">
        <f t="shared" si="3"/>
        <v>0</v>
      </c>
    </row>
    <row r="12" spans="1:32" ht="21.75" customHeight="1" thickTop="1" thickBot="1">
      <c r="A12" s="26"/>
      <c r="B12" s="31" t="s">
        <v>18</v>
      </c>
      <c r="C12" s="32"/>
      <c r="D12" s="33"/>
      <c r="E12" s="33"/>
      <c r="AA12">
        <f t="shared" si="0"/>
        <v>0</v>
      </c>
      <c r="AB12">
        <f t="shared" si="1"/>
        <v>0</v>
      </c>
      <c r="AC12">
        <f t="shared" si="2"/>
        <v>0</v>
      </c>
      <c r="AD12">
        <f t="shared" si="3"/>
        <v>0</v>
      </c>
    </row>
    <row r="13" spans="1:32" ht="37.200000000000003" thickTop="1" thickBot="1">
      <c r="A13" s="26"/>
      <c r="B13" s="31" t="s">
        <v>19</v>
      </c>
      <c r="C13" s="32"/>
      <c r="D13" s="33"/>
      <c r="E13" s="33"/>
      <c r="AA13">
        <f t="shared" si="0"/>
        <v>0</v>
      </c>
      <c r="AB13">
        <f t="shared" si="1"/>
        <v>0</v>
      </c>
      <c r="AC13">
        <f t="shared" si="2"/>
        <v>0</v>
      </c>
      <c r="AD13">
        <f t="shared" si="3"/>
        <v>0</v>
      </c>
    </row>
    <row r="14" spans="1:32" ht="22.2" thickTop="1" thickBot="1">
      <c r="A14" s="26"/>
      <c r="B14" s="31" t="s">
        <v>20</v>
      </c>
      <c r="C14" s="32"/>
      <c r="D14" s="33"/>
      <c r="E14" s="33"/>
      <c r="AA14">
        <f t="shared" si="0"/>
        <v>0</v>
      </c>
      <c r="AB14">
        <f t="shared" si="1"/>
        <v>0</v>
      </c>
      <c r="AC14">
        <f t="shared" si="2"/>
        <v>0</v>
      </c>
      <c r="AD14">
        <f t="shared" si="3"/>
        <v>0</v>
      </c>
    </row>
    <row r="15" spans="1:32" ht="22.2" thickTop="1" thickBot="1">
      <c r="A15" s="26"/>
      <c r="B15" s="31" t="s">
        <v>21</v>
      </c>
      <c r="C15" s="32"/>
      <c r="D15" s="33"/>
      <c r="E15" s="33"/>
      <c r="AA15">
        <f t="shared" si="0"/>
        <v>0</v>
      </c>
      <c r="AB15">
        <f t="shared" si="1"/>
        <v>0</v>
      </c>
      <c r="AC15">
        <f t="shared" si="2"/>
        <v>0</v>
      </c>
      <c r="AD15">
        <f t="shared" si="3"/>
        <v>0</v>
      </c>
    </row>
    <row r="16" spans="1:32" ht="22.2" thickTop="1" thickBot="1">
      <c r="A16" s="26"/>
      <c r="B16" s="31" t="s">
        <v>22</v>
      </c>
      <c r="C16" s="32"/>
      <c r="D16" s="33"/>
      <c r="E16" s="33"/>
      <c r="AA16">
        <f t="shared" si="0"/>
        <v>0</v>
      </c>
      <c r="AB16">
        <f t="shared" si="1"/>
        <v>0</v>
      </c>
      <c r="AC16">
        <f t="shared" si="2"/>
        <v>0</v>
      </c>
      <c r="AD16">
        <f t="shared" si="3"/>
        <v>0</v>
      </c>
    </row>
    <row r="17" spans="1:32" ht="22.2" thickTop="1" thickBot="1">
      <c r="A17" s="26"/>
      <c r="B17" s="31" t="s">
        <v>23</v>
      </c>
      <c r="C17" s="32"/>
      <c r="D17" s="33"/>
      <c r="E17" s="33"/>
      <c r="AA17">
        <f t="shared" si="0"/>
        <v>0</v>
      </c>
      <c r="AB17">
        <f t="shared" si="1"/>
        <v>0</v>
      </c>
      <c r="AC17">
        <f t="shared" si="2"/>
        <v>0</v>
      </c>
      <c r="AD17">
        <f t="shared" si="3"/>
        <v>0</v>
      </c>
    </row>
    <row r="18" spans="1:32" ht="37.200000000000003" thickTop="1" thickBot="1">
      <c r="A18" s="26"/>
      <c r="B18" s="31" t="s">
        <v>24</v>
      </c>
      <c r="C18" s="32"/>
      <c r="D18" s="33"/>
      <c r="E18" s="33"/>
      <c r="AA18">
        <f t="shared" si="0"/>
        <v>0</v>
      </c>
      <c r="AB18">
        <f t="shared" si="1"/>
        <v>0</v>
      </c>
      <c r="AC18">
        <f t="shared" si="2"/>
        <v>0</v>
      </c>
      <c r="AD18">
        <f t="shared" si="3"/>
        <v>0</v>
      </c>
    </row>
    <row r="19" spans="1:32" ht="37.200000000000003" thickTop="1" thickBot="1">
      <c r="A19" s="26"/>
      <c r="B19" s="31" t="s">
        <v>25</v>
      </c>
      <c r="C19" s="32"/>
      <c r="D19" s="33"/>
      <c r="E19" s="33"/>
      <c r="AA19">
        <f t="shared" si="0"/>
        <v>0</v>
      </c>
      <c r="AB19">
        <f t="shared" si="1"/>
        <v>0</v>
      </c>
      <c r="AC19">
        <f t="shared" si="2"/>
        <v>0</v>
      </c>
      <c r="AD19">
        <f t="shared" si="3"/>
        <v>0</v>
      </c>
    </row>
    <row r="20" spans="1:32" ht="22.2" thickTop="1" thickBot="1">
      <c r="A20" s="26"/>
      <c r="B20" s="31" t="s">
        <v>26</v>
      </c>
      <c r="C20" s="32"/>
      <c r="D20" s="33"/>
      <c r="E20" s="33"/>
      <c r="AA20">
        <f t="shared" si="0"/>
        <v>0</v>
      </c>
      <c r="AB20">
        <f t="shared" si="1"/>
        <v>0</v>
      </c>
      <c r="AC20">
        <f t="shared" si="2"/>
        <v>0</v>
      </c>
      <c r="AD20">
        <f t="shared" si="3"/>
        <v>0</v>
      </c>
    </row>
    <row r="21" spans="1:32" ht="22.2" thickTop="1" thickBot="1">
      <c r="A21" s="26"/>
      <c r="B21" s="31" t="s">
        <v>27</v>
      </c>
      <c r="C21" s="32"/>
      <c r="D21" s="33"/>
      <c r="E21" s="33"/>
      <c r="AA21">
        <f t="shared" si="0"/>
        <v>0</v>
      </c>
      <c r="AB21">
        <f t="shared" si="1"/>
        <v>0</v>
      </c>
      <c r="AC21">
        <f t="shared" si="2"/>
        <v>0</v>
      </c>
      <c r="AD21">
        <f t="shared" si="3"/>
        <v>0</v>
      </c>
    </row>
    <row r="22" spans="1:32" ht="37.200000000000003" thickTop="1" thickBot="1">
      <c r="A22" s="26"/>
      <c r="B22" s="31" t="s">
        <v>28</v>
      </c>
      <c r="C22" s="32"/>
      <c r="D22" s="33"/>
      <c r="E22" s="33"/>
      <c r="AA22">
        <f t="shared" si="0"/>
        <v>0</v>
      </c>
      <c r="AB22">
        <f t="shared" si="1"/>
        <v>0</v>
      </c>
      <c r="AC22">
        <f t="shared" si="2"/>
        <v>0</v>
      </c>
      <c r="AD22">
        <f t="shared" si="3"/>
        <v>0</v>
      </c>
    </row>
    <row r="23" spans="1:32" ht="22.2" thickTop="1" thickBot="1">
      <c r="A23" s="26"/>
      <c r="B23" s="31" t="s">
        <v>29</v>
      </c>
      <c r="C23" s="32"/>
      <c r="D23" s="33"/>
      <c r="E23" s="33"/>
      <c r="AA23">
        <f t="shared" si="0"/>
        <v>0</v>
      </c>
      <c r="AB23">
        <f t="shared" si="1"/>
        <v>0</v>
      </c>
      <c r="AC23">
        <f t="shared" si="2"/>
        <v>0</v>
      </c>
      <c r="AD23">
        <f t="shared" si="3"/>
        <v>0</v>
      </c>
    </row>
    <row r="24" spans="1:32" ht="55.2" thickTop="1" thickBot="1">
      <c r="A24" s="26"/>
      <c r="B24" s="31" t="s">
        <v>30</v>
      </c>
      <c r="C24" s="32"/>
      <c r="D24" s="33"/>
      <c r="E24" s="33"/>
      <c r="AA24">
        <f t="shared" si="0"/>
        <v>0</v>
      </c>
      <c r="AB24">
        <f t="shared" si="1"/>
        <v>0</v>
      </c>
      <c r="AC24">
        <f t="shared" si="2"/>
        <v>0</v>
      </c>
      <c r="AD24">
        <f t="shared" si="3"/>
        <v>0</v>
      </c>
    </row>
    <row r="25" spans="1:32" ht="55.2" thickTop="1" thickBot="1">
      <c r="A25" s="34" t="s">
        <v>31</v>
      </c>
      <c r="B25" s="35" t="s">
        <v>32</v>
      </c>
      <c r="C25" s="36"/>
      <c r="D25" s="36"/>
      <c r="E25" s="36"/>
      <c r="AA25">
        <f t="shared" si="0"/>
        <v>0</v>
      </c>
      <c r="AB25">
        <f t="shared" si="1"/>
        <v>0</v>
      </c>
      <c r="AC25">
        <f t="shared" si="2"/>
        <v>0</v>
      </c>
      <c r="AD25">
        <f t="shared" si="3"/>
        <v>0</v>
      </c>
    </row>
    <row r="26" spans="1:32" ht="37.200000000000003" thickTop="1" thickBot="1">
      <c r="A26" s="37" t="s">
        <v>33</v>
      </c>
      <c r="B26" s="38" t="s">
        <v>34</v>
      </c>
      <c r="C26" s="32"/>
      <c r="D26" s="33"/>
      <c r="E26" s="33"/>
      <c r="AA26">
        <f t="shared" si="0"/>
        <v>0</v>
      </c>
      <c r="AB26">
        <f t="shared" si="1"/>
        <v>0</v>
      </c>
      <c r="AC26">
        <f t="shared" si="2"/>
        <v>0</v>
      </c>
      <c r="AD26">
        <f t="shared" si="3"/>
        <v>0</v>
      </c>
    </row>
    <row r="27" spans="1:32" ht="36" thickTop="1" thickBot="1">
      <c r="A27" s="39" t="s">
        <v>35</v>
      </c>
      <c r="B27" s="39" t="s">
        <v>36</v>
      </c>
      <c r="C27" s="23" t="s">
        <v>37</v>
      </c>
      <c r="D27" s="24"/>
      <c r="E27" s="25" t="str">
        <f>"Quotation: "&amp;ROUND((AE27/AF27)*100,2)&amp;"%"</f>
        <v>Quotation: 0%</v>
      </c>
      <c r="AE27">
        <f>SUM(AA28:AA44)+SUM(AB28:AB44)*0.5</f>
        <v>0</v>
      </c>
      <c r="AF27">
        <f>COUNT(AA28:AA44)-SUM(AD28:AD44)</f>
        <v>16</v>
      </c>
    </row>
    <row r="28" spans="1:32" ht="55.2" thickTop="1" thickBot="1">
      <c r="A28" s="40" t="s">
        <v>38</v>
      </c>
      <c r="B28" s="27" t="s">
        <v>39</v>
      </c>
      <c r="C28" s="41"/>
      <c r="D28" s="42"/>
      <c r="E28" s="43"/>
    </row>
    <row r="29" spans="1:32" ht="22.2" thickTop="1" thickBot="1">
      <c r="A29" s="40"/>
      <c r="B29" s="44" t="s">
        <v>40</v>
      </c>
      <c r="C29" s="32"/>
      <c r="D29" s="33"/>
      <c r="E29" s="33"/>
      <c r="AA29">
        <f t="shared" ref="AA29:AA44" si="4">IF(C29="Met",1,0)</f>
        <v>0</v>
      </c>
      <c r="AB29">
        <f t="shared" ref="AB29:AB44" si="5">IF(C29="Partially Met",1,0)</f>
        <v>0</v>
      </c>
      <c r="AC29">
        <f t="shared" ref="AC29:AC44" si="6">IF(C29="UnMet",1,0)</f>
        <v>0</v>
      </c>
      <c r="AD29">
        <f t="shared" ref="AD29:AD44" si="7">IF(C29="Not Applicable",1,0)</f>
        <v>0</v>
      </c>
    </row>
    <row r="30" spans="1:32" ht="22.2" thickTop="1" thickBot="1">
      <c r="A30" s="40"/>
      <c r="B30" s="44" t="s">
        <v>41</v>
      </c>
      <c r="C30" s="32"/>
      <c r="D30" s="33"/>
      <c r="E30" s="33"/>
      <c r="AA30">
        <f t="shared" si="4"/>
        <v>0</v>
      </c>
      <c r="AB30">
        <f t="shared" si="5"/>
        <v>0</v>
      </c>
      <c r="AC30">
        <f t="shared" si="6"/>
        <v>0</v>
      </c>
      <c r="AD30">
        <f t="shared" si="7"/>
        <v>0</v>
      </c>
    </row>
    <row r="31" spans="1:32" ht="22.2" thickTop="1" thickBot="1">
      <c r="A31" s="40"/>
      <c r="B31" s="44" t="s">
        <v>42</v>
      </c>
      <c r="C31" s="32"/>
      <c r="D31" s="33"/>
      <c r="E31" s="33"/>
      <c r="AA31">
        <f t="shared" si="4"/>
        <v>0</v>
      </c>
      <c r="AB31">
        <f t="shared" si="5"/>
        <v>0</v>
      </c>
      <c r="AC31">
        <f t="shared" si="6"/>
        <v>0</v>
      </c>
      <c r="AD31">
        <f t="shared" si="7"/>
        <v>0</v>
      </c>
    </row>
    <row r="32" spans="1:32" ht="22.2" thickTop="1" thickBot="1">
      <c r="A32" s="40"/>
      <c r="B32" s="44" t="s">
        <v>43</v>
      </c>
      <c r="C32" s="32"/>
      <c r="D32" s="33"/>
      <c r="E32" s="33"/>
      <c r="AA32">
        <f t="shared" si="4"/>
        <v>0</v>
      </c>
      <c r="AB32">
        <f t="shared" si="5"/>
        <v>0</v>
      </c>
      <c r="AC32">
        <f t="shared" si="6"/>
        <v>0</v>
      </c>
      <c r="AD32">
        <f t="shared" si="7"/>
        <v>0</v>
      </c>
    </row>
    <row r="33" spans="1:32" ht="22.2" thickTop="1" thickBot="1">
      <c r="A33" s="40"/>
      <c r="B33" s="44" t="s">
        <v>44</v>
      </c>
      <c r="C33" s="32"/>
      <c r="D33" s="33"/>
      <c r="E33" s="33"/>
      <c r="AA33">
        <f t="shared" si="4"/>
        <v>0</v>
      </c>
      <c r="AB33">
        <f t="shared" si="5"/>
        <v>0</v>
      </c>
      <c r="AC33">
        <f t="shared" si="6"/>
        <v>0</v>
      </c>
      <c r="AD33">
        <f t="shared" si="7"/>
        <v>0</v>
      </c>
    </row>
    <row r="34" spans="1:32" ht="21" customHeight="1" thickTop="1" thickBot="1">
      <c r="A34" s="40"/>
      <c r="B34" s="44" t="s">
        <v>45</v>
      </c>
      <c r="C34" s="32"/>
      <c r="D34" s="33"/>
      <c r="E34" s="33"/>
      <c r="AA34">
        <f t="shared" si="4"/>
        <v>0</v>
      </c>
      <c r="AB34">
        <f t="shared" si="5"/>
        <v>0</v>
      </c>
      <c r="AC34">
        <f t="shared" si="6"/>
        <v>0</v>
      </c>
      <c r="AD34">
        <f t="shared" si="7"/>
        <v>0</v>
      </c>
    </row>
    <row r="35" spans="1:32" ht="22.2" thickTop="1" thickBot="1">
      <c r="A35" s="40"/>
      <c r="B35" s="44" t="s">
        <v>46</v>
      </c>
      <c r="C35" s="32"/>
      <c r="D35" s="33"/>
      <c r="E35" s="33"/>
      <c r="AA35">
        <f t="shared" si="4"/>
        <v>0</v>
      </c>
      <c r="AB35">
        <f t="shared" si="5"/>
        <v>0</v>
      </c>
      <c r="AC35">
        <f t="shared" si="6"/>
        <v>0</v>
      </c>
      <c r="AD35">
        <f t="shared" si="7"/>
        <v>0</v>
      </c>
    </row>
    <row r="36" spans="1:32" ht="22.2" thickTop="1" thickBot="1">
      <c r="A36" s="40"/>
      <c r="B36" s="44" t="s">
        <v>47</v>
      </c>
      <c r="C36" s="32"/>
      <c r="D36" s="33"/>
      <c r="E36" s="33"/>
      <c r="AA36">
        <f t="shared" si="4"/>
        <v>0</v>
      </c>
      <c r="AB36">
        <f t="shared" si="5"/>
        <v>0</v>
      </c>
      <c r="AC36">
        <f t="shared" si="6"/>
        <v>0</v>
      </c>
      <c r="AD36">
        <f t="shared" si="7"/>
        <v>0</v>
      </c>
    </row>
    <row r="37" spans="1:32" ht="22.2" thickTop="1" thickBot="1">
      <c r="A37" s="40"/>
      <c r="B37" s="44" t="s">
        <v>48</v>
      </c>
      <c r="C37" s="32"/>
      <c r="D37" s="33"/>
      <c r="E37" s="33"/>
      <c r="AA37">
        <f t="shared" si="4"/>
        <v>0</v>
      </c>
      <c r="AB37">
        <f t="shared" si="5"/>
        <v>0</v>
      </c>
      <c r="AC37">
        <f t="shared" si="6"/>
        <v>0</v>
      </c>
      <c r="AD37">
        <f t="shared" si="7"/>
        <v>0</v>
      </c>
    </row>
    <row r="38" spans="1:32" ht="22.2" thickTop="1" thickBot="1">
      <c r="A38" s="40"/>
      <c r="B38" s="44" t="s">
        <v>49</v>
      </c>
      <c r="C38" s="32"/>
      <c r="D38" s="33"/>
      <c r="E38" s="33"/>
      <c r="AA38">
        <f t="shared" si="4"/>
        <v>0</v>
      </c>
      <c r="AB38">
        <f t="shared" si="5"/>
        <v>0</v>
      </c>
      <c r="AC38">
        <f t="shared" si="6"/>
        <v>0</v>
      </c>
      <c r="AD38">
        <f t="shared" si="7"/>
        <v>0</v>
      </c>
    </row>
    <row r="39" spans="1:32" ht="37.200000000000003" thickTop="1" thickBot="1">
      <c r="A39" s="40"/>
      <c r="B39" s="44" t="s">
        <v>50</v>
      </c>
      <c r="C39" s="32"/>
      <c r="D39" s="33"/>
      <c r="E39" s="33"/>
      <c r="AA39">
        <f t="shared" si="4"/>
        <v>0</v>
      </c>
      <c r="AB39">
        <f t="shared" si="5"/>
        <v>0</v>
      </c>
      <c r="AC39">
        <f t="shared" si="6"/>
        <v>0</v>
      </c>
      <c r="AD39">
        <f t="shared" si="7"/>
        <v>0</v>
      </c>
    </row>
    <row r="40" spans="1:32" ht="22.2" thickTop="1" thickBot="1">
      <c r="A40" s="40"/>
      <c r="B40" s="44" t="s">
        <v>51</v>
      </c>
      <c r="C40" s="32"/>
      <c r="D40" s="33"/>
      <c r="E40" s="33"/>
      <c r="AA40">
        <f t="shared" si="4"/>
        <v>0</v>
      </c>
      <c r="AB40">
        <f t="shared" si="5"/>
        <v>0</v>
      </c>
      <c r="AC40">
        <f t="shared" si="6"/>
        <v>0</v>
      </c>
      <c r="AD40">
        <f t="shared" si="7"/>
        <v>0</v>
      </c>
    </row>
    <row r="41" spans="1:32" ht="17.25" customHeight="1" thickTop="1" thickBot="1">
      <c r="A41" s="40"/>
      <c r="B41" s="45" t="s">
        <v>52</v>
      </c>
      <c r="C41" s="36"/>
      <c r="D41" s="36"/>
      <c r="E41" s="36"/>
      <c r="AA41">
        <f t="shared" si="4"/>
        <v>0</v>
      </c>
      <c r="AB41">
        <f t="shared" si="5"/>
        <v>0</v>
      </c>
      <c r="AC41">
        <f t="shared" si="6"/>
        <v>0</v>
      </c>
      <c r="AD41">
        <f t="shared" si="7"/>
        <v>0</v>
      </c>
    </row>
    <row r="42" spans="1:32" ht="55.2" thickTop="1" thickBot="1">
      <c r="A42" s="46" t="s">
        <v>53</v>
      </c>
      <c r="B42" s="38" t="s">
        <v>54</v>
      </c>
      <c r="C42" s="32"/>
      <c r="D42" s="33"/>
      <c r="E42" s="33"/>
      <c r="AA42">
        <f t="shared" si="4"/>
        <v>0</v>
      </c>
      <c r="AB42">
        <f t="shared" si="5"/>
        <v>0</v>
      </c>
      <c r="AC42">
        <f t="shared" si="6"/>
        <v>0</v>
      </c>
      <c r="AD42">
        <f t="shared" si="7"/>
        <v>0</v>
      </c>
    </row>
    <row r="43" spans="1:32" ht="37.200000000000003" thickTop="1" thickBot="1">
      <c r="A43" s="46" t="s">
        <v>55</v>
      </c>
      <c r="B43" s="38" t="s">
        <v>56</v>
      </c>
      <c r="C43" s="32"/>
      <c r="D43" s="33"/>
      <c r="E43" s="33"/>
      <c r="AA43">
        <f t="shared" si="4"/>
        <v>0</v>
      </c>
      <c r="AB43">
        <f t="shared" si="5"/>
        <v>0</v>
      </c>
      <c r="AC43">
        <f t="shared" si="6"/>
        <v>0</v>
      </c>
      <c r="AD43">
        <f t="shared" si="7"/>
        <v>0</v>
      </c>
    </row>
    <row r="44" spans="1:32" ht="37.200000000000003" thickTop="1" thickBot="1">
      <c r="A44" s="46" t="s">
        <v>57</v>
      </c>
      <c r="B44" s="38" t="s">
        <v>58</v>
      </c>
      <c r="C44" s="32"/>
      <c r="D44" s="33"/>
      <c r="E44" s="33"/>
      <c r="AA44">
        <f t="shared" si="4"/>
        <v>0</v>
      </c>
      <c r="AB44">
        <f t="shared" si="5"/>
        <v>0</v>
      </c>
      <c r="AC44">
        <f t="shared" si="6"/>
        <v>0</v>
      </c>
      <c r="AD44">
        <f t="shared" si="7"/>
        <v>0</v>
      </c>
    </row>
    <row r="45" spans="1:32" ht="36" thickTop="1" thickBot="1">
      <c r="A45" s="47" t="s">
        <v>59</v>
      </c>
      <c r="B45" s="48" t="s">
        <v>60</v>
      </c>
      <c r="C45" s="23" t="s">
        <v>61</v>
      </c>
      <c r="D45" s="24"/>
      <c r="E45" s="25" t="str">
        <f>"Quotation: "&amp;ROUND((AE45/AF45)*100,2)&amp;"%"</f>
        <v>Quotation: 0%</v>
      </c>
      <c r="AE45">
        <f>SUM(AA46:AA64)+SUM(AB46:AB64)*0.5</f>
        <v>0</v>
      </c>
      <c r="AF45">
        <f>COUNT(AA46:AA64)-SUM(AD46:AD64)</f>
        <v>17</v>
      </c>
    </row>
    <row r="46" spans="1:32" ht="37.200000000000003" thickTop="1" thickBot="1">
      <c r="A46" s="46" t="s">
        <v>62</v>
      </c>
      <c r="B46" s="38" t="s">
        <v>63</v>
      </c>
      <c r="C46" s="32"/>
      <c r="D46" s="33"/>
      <c r="E46" s="33"/>
      <c r="AA46">
        <f>IF(C46="Met",1,0)</f>
        <v>0</v>
      </c>
      <c r="AB46">
        <f>IF(C46="Partially Met",1,0)</f>
        <v>0</v>
      </c>
      <c r="AC46">
        <f>IF(C46="UnMet",1,0)</f>
        <v>0</v>
      </c>
      <c r="AD46">
        <f>IF(C46="Not Applicable",1,0)</f>
        <v>0</v>
      </c>
    </row>
    <row r="47" spans="1:32" ht="22.2" thickTop="1" thickBot="1">
      <c r="A47" s="46" t="s">
        <v>64</v>
      </c>
      <c r="B47" s="38" t="s">
        <v>65</v>
      </c>
      <c r="C47" s="32"/>
      <c r="D47" s="33"/>
      <c r="E47" s="33"/>
      <c r="AA47">
        <f>IF(C47="Met",1,0)</f>
        <v>0</v>
      </c>
      <c r="AB47">
        <f>IF(C47="Partially Met",1,0)</f>
        <v>0</v>
      </c>
      <c r="AC47">
        <f>IF(C47="UnMet",1,0)</f>
        <v>0</v>
      </c>
      <c r="AD47">
        <f>IF(C47="Not Applicable",1,0)</f>
        <v>0</v>
      </c>
    </row>
    <row r="48" spans="1:32" ht="37.200000000000003" thickTop="1" thickBot="1">
      <c r="A48" s="40" t="s">
        <v>66</v>
      </c>
      <c r="B48" s="27" t="s">
        <v>67</v>
      </c>
      <c r="C48" s="41"/>
      <c r="D48" s="42"/>
      <c r="E48" s="43"/>
    </row>
    <row r="49" spans="1:30" ht="22.2" thickTop="1" thickBot="1">
      <c r="A49" s="40"/>
      <c r="B49" s="44" t="s">
        <v>68</v>
      </c>
      <c r="C49" s="32"/>
      <c r="D49" s="33"/>
      <c r="E49" s="33"/>
      <c r="AA49">
        <f t="shared" ref="AA49:AA60" si="8">IF(C49="Met",1,0)</f>
        <v>0</v>
      </c>
      <c r="AB49">
        <f t="shared" ref="AB49:AB60" si="9">IF(C49="Partially Met",1,0)</f>
        <v>0</v>
      </c>
      <c r="AC49">
        <f t="shared" ref="AC49:AC60" si="10">IF(C49="UnMet",1,0)</f>
        <v>0</v>
      </c>
      <c r="AD49">
        <f t="shared" ref="AD49:AD60" si="11">IF(C49="Not Applicable",1,0)</f>
        <v>0</v>
      </c>
    </row>
    <row r="50" spans="1:30" ht="22.2" thickTop="1" thickBot="1">
      <c r="A50" s="40"/>
      <c r="B50" s="44" t="s">
        <v>69</v>
      </c>
      <c r="C50" s="32"/>
      <c r="D50" s="33"/>
      <c r="E50" s="33"/>
      <c r="AA50">
        <f t="shared" si="8"/>
        <v>0</v>
      </c>
      <c r="AB50">
        <f t="shared" si="9"/>
        <v>0</v>
      </c>
      <c r="AC50">
        <f t="shared" si="10"/>
        <v>0</v>
      </c>
      <c r="AD50">
        <f t="shared" si="11"/>
        <v>0</v>
      </c>
    </row>
    <row r="51" spans="1:30" ht="22.2" thickTop="1" thickBot="1">
      <c r="A51" s="40"/>
      <c r="B51" s="44" t="s">
        <v>70</v>
      </c>
      <c r="C51" s="32"/>
      <c r="D51" s="33"/>
      <c r="E51" s="33"/>
      <c r="AA51">
        <f t="shared" si="8"/>
        <v>0</v>
      </c>
      <c r="AB51">
        <f t="shared" si="9"/>
        <v>0</v>
      </c>
      <c r="AC51">
        <f t="shared" si="10"/>
        <v>0</v>
      </c>
      <c r="AD51">
        <f t="shared" si="11"/>
        <v>0</v>
      </c>
    </row>
    <row r="52" spans="1:30" ht="22.2" thickTop="1" thickBot="1">
      <c r="A52" s="40"/>
      <c r="B52" s="44" t="s">
        <v>71</v>
      </c>
      <c r="C52" s="32"/>
      <c r="D52" s="33"/>
      <c r="E52" s="33"/>
      <c r="AA52">
        <f t="shared" si="8"/>
        <v>0</v>
      </c>
      <c r="AB52">
        <f t="shared" si="9"/>
        <v>0</v>
      </c>
      <c r="AC52">
        <f t="shared" si="10"/>
        <v>0</v>
      </c>
      <c r="AD52">
        <f t="shared" si="11"/>
        <v>0</v>
      </c>
    </row>
    <row r="53" spans="1:30" ht="22.2" thickTop="1" thickBot="1">
      <c r="A53" s="40"/>
      <c r="B53" s="44" t="s">
        <v>72</v>
      </c>
      <c r="C53" s="32"/>
      <c r="D53" s="33"/>
      <c r="E53" s="33"/>
      <c r="AA53">
        <f t="shared" si="8"/>
        <v>0</v>
      </c>
      <c r="AB53">
        <f t="shared" si="9"/>
        <v>0</v>
      </c>
      <c r="AC53">
        <f t="shared" si="10"/>
        <v>0</v>
      </c>
      <c r="AD53">
        <f t="shared" si="11"/>
        <v>0</v>
      </c>
    </row>
    <row r="54" spans="1:30" ht="22.2" thickTop="1" thickBot="1">
      <c r="A54" s="40"/>
      <c r="B54" s="44" t="s">
        <v>73</v>
      </c>
      <c r="C54" s="32"/>
      <c r="D54" s="33"/>
      <c r="E54" s="33"/>
      <c r="AA54">
        <f t="shared" si="8"/>
        <v>0</v>
      </c>
      <c r="AB54">
        <f t="shared" si="9"/>
        <v>0</v>
      </c>
      <c r="AC54">
        <f t="shared" si="10"/>
        <v>0</v>
      </c>
      <c r="AD54">
        <f t="shared" si="11"/>
        <v>0</v>
      </c>
    </row>
    <row r="55" spans="1:30" ht="22.2" thickTop="1" thickBot="1">
      <c r="A55" s="40"/>
      <c r="B55" s="44" t="s">
        <v>74</v>
      </c>
      <c r="C55" s="32"/>
      <c r="D55" s="33"/>
      <c r="E55" s="33"/>
      <c r="AA55">
        <f t="shared" si="8"/>
        <v>0</v>
      </c>
      <c r="AB55">
        <f t="shared" si="9"/>
        <v>0</v>
      </c>
      <c r="AC55">
        <f t="shared" si="10"/>
        <v>0</v>
      </c>
      <c r="AD55">
        <f t="shared" si="11"/>
        <v>0</v>
      </c>
    </row>
    <row r="56" spans="1:30" ht="22.2" thickTop="1" thickBot="1">
      <c r="A56" s="40"/>
      <c r="B56" s="44" t="s">
        <v>75</v>
      </c>
      <c r="C56" s="32"/>
      <c r="D56" s="33"/>
      <c r="E56" s="33"/>
      <c r="AA56">
        <f t="shared" si="8"/>
        <v>0</v>
      </c>
      <c r="AB56">
        <f t="shared" si="9"/>
        <v>0</v>
      </c>
      <c r="AC56">
        <f t="shared" si="10"/>
        <v>0</v>
      </c>
      <c r="AD56">
        <f t="shared" si="11"/>
        <v>0</v>
      </c>
    </row>
    <row r="57" spans="1:30" ht="22.2" thickTop="1" thickBot="1">
      <c r="A57" s="40"/>
      <c r="B57" s="44" t="s">
        <v>76</v>
      </c>
      <c r="C57" s="32"/>
      <c r="D57" s="33"/>
      <c r="E57" s="33"/>
      <c r="AA57">
        <f t="shared" si="8"/>
        <v>0</v>
      </c>
      <c r="AB57">
        <f t="shared" si="9"/>
        <v>0</v>
      </c>
      <c r="AC57">
        <f t="shared" si="10"/>
        <v>0</v>
      </c>
      <c r="AD57">
        <f t="shared" si="11"/>
        <v>0</v>
      </c>
    </row>
    <row r="58" spans="1:30" ht="22.2" thickTop="1" thickBot="1">
      <c r="A58" s="40"/>
      <c r="B58" s="44" t="s">
        <v>77</v>
      </c>
      <c r="C58" s="32"/>
      <c r="D58" s="33"/>
      <c r="E58" s="33"/>
      <c r="AA58">
        <f t="shared" si="8"/>
        <v>0</v>
      </c>
      <c r="AB58">
        <f t="shared" si="9"/>
        <v>0</v>
      </c>
      <c r="AC58">
        <f t="shared" si="10"/>
        <v>0</v>
      </c>
      <c r="AD58">
        <f t="shared" si="11"/>
        <v>0</v>
      </c>
    </row>
    <row r="59" spans="1:30" ht="22.2" thickTop="1" thickBot="1">
      <c r="A59" s="40"/>
      <c r="B59" s="44" t="s">
        <v>78</v>
      </c>
      <c r="C59" s="32"/>
      <c r="D59" s="33"/>
      <c r="E59" s="33"/>
      <c r="AA59">
        <f t="shared" si="8"/>
        <v>0</v>
      </c>
      <c r="AB59">
        <f t="shared" si="9"/>
        <v>0</v>
      </c>
      <c r="AC59">
        <f t="shared" si="10"/>
        <v>0</v>
      </c>
      <c r="AD59">
        <f t="shared" si="11"/>
        <v>0</v>
      </c>
    </row>
    <row r="60" spans="1:30" ht="55.2" thickTop="1" thickBot="1">
      <c r="A60" s="46" t="s">
        <v>79</v>
      </c>
      <c r="B60" s="38" t="s">
        <v>80</v>
      </c>
      <c r="C60" s="32"/>
      <c r="D60" s="33"/>
      <c r="E60" s="33"/>
      <c r="AA60">
        <f t="shared" si="8"/>
        <v>0</v>
      </c>
      <c r="AB60">
        <f t="shared" si="9"/>
        <v>0</v>
      </c>
      <c r="AC60">
        <f t="shared" si="10"/>
        <v>0</v>
      </c>
      <c r="AD60">
        <f t="shared" si="11"/>
        <v>0</v>
      </c>
    </row>
    <row r="61" spans="1:30" ht="37.200000000000003" thickTop="1" thickBot="1">
      <c r="A61" s="40" t="s">
        <v>81</v>
      </c>
      <c r="B61" s="27" t="s">
        <v>82</v>
      </c>
      <c r="C61" s="41"/>
      <c r="D61" s="42"/>
      <c r="E61" s="43"/>
    </row>
    <row r="62" spans="1:30" ht="22.2" thickTop="1" thickBot="1">
      <c r="A62" s="40"/>
      <c r="B62" s="44" t="s">
        <v>83</v>
      </c>
      <c r="C62" s="32"/>
      <c r="D62" s="33"/>
      <c r="E62" s="33"/>
      <c r="AA62">
        <f>IF(C62="Met",1,0)</f>
        <v>0</v>
      </c>
      <c r="AB62">
        <f>IF(C62="Partially Met",1,0)</f>
        <v>0</v>
      </c>
      <c r="AC62">
        <f>IF(C62="UnMet",1,0)</f>
        <v>0</v>
      </c>
      <c r="AD62">
        <f>IF(C62="Not Applicable",1,0)</f>
        <v>0</v>
      </c>
    </row>
    <row r="63" spans="1:30" ht="22.2" thickTop="1" thickBot="1">
      <c r="A63" s="40"/>
      <c r="B63" s="44" t="s">
        <v>84</v>
      </c>
      <c r="C63" s="32"/>
      <c r="D63" s="33"/>
      <c r="E63" s="33"/>
      <c r="AA63">
        <f>IF(C63="Met",1,0)</f>
        <v>0</v>
      </c>
      <c r="AB63">
        <f>IF(C63="Partially Met",1,0)</f>
        <v>0</v>
      </c>
      <c r="AC63">
        <f>IF(C63="UnMet",1,0)</f>
        <v>0</v>
      </c>
      <c r="AD63">
        <f>IF(C63="Not Applicable",1,0)</f>
        <v>0</v>
      </c>
    </row>
    <row r="64" spans="1:30" ht="22.2" thickTop="1" thickBot="1">
      <c r="A64" s="40"/>
      <c r="B64" s="44" t="s">
        <v>85</v>
      </c>
      <c r="C64" s="32"/>
      <c r="D64" s="33"/>
      <c r="E64" s="33"/>
      <c r="AA64">
        <f>IF(C64="Met",1,0)</f>
        <v>0</v>
      </c>
      <c r="AB64">
        <f>IF(C64="Partially Met",1,0)</f>
        <v>0</v>
      </c>
      <c r="AC64">
        <f>IF(C64="UnMet",1,0)</f>
        <v>0</v>
      </c>
      <c r="AD64">
        <f>IF(C64="Not Applicable",1,0)</f>
        <v>0</v>
      </c>
    </row>
    <row r="65" spans="1:32" ht="42.75" customHeight="1" thickTop="1" thickBot="1">
      <c r="A65" s="47" t="s">
        <v>86</v>
      </c>
      <c r="B65" s="47" t="s">
        <v>87</v>
      </c>
      <c r="C65" s="23" t="s">
        <v>88</v>
      </c>
      <c r="D65" s="24"/>
      <c r="E65" s="25" t="str">
        <f>"Quotation: "&amp;ROUND((AE65/AF65)*100,2)&amp;"%"</f>
        <v>Quotation: 0%</v>
      </c>
      <c r="AE65">
        <f>SUM(AA66:AA69)+SUM(AB66:AB69)*0.5</f>
        <v>0</v>
      </c>
      <c r="AF65">
        <f>COUNT(AA66:AA69)-SUM(AD66:AD69)</f>
        <v>4</v>
      </c>
    </row>
    <row r="66" spans="1:32" ht="37.200000000000003" thickTop="1" thickBot="1">
      <c r="A66" s="46" t="s">
        <v>89</v>
      </c>
      <c r="B66" s="49" t="s">
        <v>90</v>
      </c>
      <c r="C66" s="50"/>
      <c r="D66" s="50"/>
      <c r="E66" s="50"/>
      <c r="AA66">
        <f>IF(C66="Met",1,0)</f>
        <v>0</v>
      </c>
      <c r="AB66">
        <f>IF(C66="Partially Met",1,0)</f>
        <v>0</v>
      </c>
      <c r="AC66">
        <f>IF(C66="UnMet",1,0)</f>
        <v>0</v>
      </c>
      <c r="AD66">
        <f>IF(C66="Not Applicable",1,0)</f>
        <v>0</v>
      </c>
    </row>
    <row r="67" spans="1:32" ht="37.200000000000003" thickTop="1" thickBot="1">
      <c r="A67" s="46" t="s">
        <v>91</v>
      </c>
      <c r="B67" s="38" t="s">
        <v>92</v>
      </c>
      <c r="C67" s="32"/>
      <c r="D67" s="33"/>
      <c r="E67" s="33"/>
      <c r="AA67">
        <f>IF(C67="Met",1,0)</f>
        <v>0</v>
      </c>
      <c r="AB67">
        <f>IF(C67="Partially Met",1,0)</f>
        <v>0</v>
      </c>
      <c r="AC67">
        <f>IF(C67="UnMet",1,0)</f>
        <v>0</v>
      </c>
      <c r="AD67">
        <f>IF(C67="Not Applicable",1,0)</f>
        <v>0</v>
      </c>
    </row>
    <row r="68" spans="1:32" ht="37.200000000000003" thickTop="1" thickBot="1">
      <c r="A68" s="46" t="s">
        <v>93</v>
      </c>
      <c r="B68" s="38" t="s">
        <v>94</v>
      </c>
      <c r="C68" s="32"/>
      <c r="D68" s="33"/>
      <c r="E68" s="33"/>
      <c r="AA68">
        <f>IF(C68="Met",1,0)</f>
        <v>0</v>
      </c>
      <c r="AB68">
        <f>IF(C68="Partially Met",1,0)</f>
        <v>0</v>
      </c>
      <c r="AC68">
        <f>IF(C68="UnMet",1,0)</f>
        <v>0</v>
      </c>
      <c r="AD68">
        <f>IF(C68="Not Applicable",1,0)</f>
        <v>0</v>
      </c>
    </row>
    <row r="69" spans="1:32" ht="37.200000000000003" thickTop="1" thickBot="1">
      <c r="A69" s="46" t="s">
        <v>95</v>
      </c>
      <c r="B69" s="38" t="s">
        <v>96</v>
      </c>
      <c r="C69" s="32"/>
      <c r="D69" s="33"/>
      <c r="E69" s="33"/>
      <c r="AA69">
        <f>IF(C69="Met",1,0)</f>
        <v>0</v>
      </c>
      <c r="AB69">
        <f>IF(C69="Partially Met",1,0)</f>
        <v>0</v>
      </c>
      <c r="AC69">
        <f>IF(C69="UnMet",1,0)</f>
        <v>0</v>
      </c>
      <c r="AD69">
        <f>IF(C69="Not Applicable",1,0)</f>
        <v>0</v>
      </c>
    </row>
    <row r="70" spans="1:32" ht="62.4" thickTop="1" thickBot="1">
      <c r="A70" s="51" t="s">
        <v>97</v>
      </c>
      <c r="B70" s="51" t="s">
        <v>98</v>
      </c>
      <c r="C70" s="52" t="s">
        <v>99</v>
      </c>
      <c r="D70" s="53"/>
      <c r="E70" s="54" t="str">
        <f>"Quotation: "&amp;ROUND((AE70/AF70)*100,2)&amp;"%"</f>
        <v>Quotation: 0%</v>
      </c>
      <c r="AE70">
        <f>SUM(AA71:AA78)+SUM(AB71:AB78)*0.5</f>
        <v>0</v>
      </c>
      <c r="AF70">
        <f>COUNT(AA71:AA78)-SUM(AD71:AD78)</f>
        <v>8</v>
      </c>
    </row>
    <row r="71" spans="1:32" ht="91.2" thickTop="1" thickBot="1">
      <c r="A71" s="55" t="s">
        <v>100</v>
      </c>
      <c r="B71" s="56" t="s">
        <v>101</v>
      </c>
      <c r="C71" s="32"/>
      <c r="D71" s="32"/>
      <c r="E71" s="32"/>
      <c r="AA71">
        <f t="shared" ref="AA71:AA78" si="12">IF(C71="Met",1,0)</f>
        <v>0</v>
      </c>
      <c r="AB71">
        <f t="shared" ref="AB71:AB78" si="13">IF(C71="Partially Met",1,0)</f>
        <v>0</v>
      </c>
      <c r="AC71">
        <f t="shared" ref="AC71:AC78" si="14">IF(C71="UnMet",1,0)</f>
        <v>0</v>
      </c>
      <c r="AD71">
        <f t="shared" ref="AD71:AD78" si="15">IF(C71="Not Applicable",1,0)</f>
        <v>0</v>
      </c>
    </row>
    <row r="72" spans="1:32" ht="91.2" thickTop="1" thickBot="1">
      <c r="A72" s="55" t="s">
        <v>102</v>
      </c>
      <c r="B72" s="56" t="s">
        <v>103</v>
      </c>
      <c r="C72" s="32"/>
      <c r="D72" s="32"/>
      <c r="E72" s="32"/>
      <c r="AA72">
        <f t="shared" si="12"/>
        <v>0</v>
      </c>
      <c r="AB72">
        <f t="shared" si="13"/>
        <v>0</v>
      </c>
      <c r="AC72">
        <f t="shared" si="14"/>
        <v>0</v>
      </c>
      <c r="AD72">
        <f t="shared" si="15"/>
        <v>0</v>
      </c>
    </row>
    <row r="73" spans="1:32" ht="37.200000000000003" thickTop="1" thickBot="1">
      <c r="A73" s="55" t="s">
        <v>104</v>
      </c>
      <c r="B73" s="56" t="s">
        <v>105</v>
      </c>
      <c r="C73" s="32"/>
      <c r="D73" s="32"/>
      <c r="E73" s="32"/>
      <c r="AA73">
        <f t="shared" si="12"/>
        <v>0</v>
      </c>
      <c r="AB73">
        <f t="shared" si="13"/>
        <v>0</v>
      </c>
      <c r="AC73">
        <f t="shared" si="14"/>
        <v>0</v>
      </c>
      <c r="AD73">
        <f t="shared" si="15"/>
        <v>0</v>
      </c>
    </row>
    <row r="74" spans="1:32" ht="37.200000000000003" thickTop="1" thickBot="1">
      <c r="A74" s="55" t="s">
        <v>106</v>
      </c>
      <c r="B74" s="56" t="s">
        <v>107</v>
      </c>
      <c r="C74" s="32"/>
      <c r="D74" s="32"/>
      <c r="E74" s="32"/>
      <c r="AA74">
        <f t="shared" si="12"/>
        <v>0</v>
      </c>
      <c r="AB74">
        <f t="shared" si="13"/>
        <v>0</v>
      </c>
      <c r="AC74">
        <f t="shared" si="14"/>
        <v>0</v>
      </c>
      <c r="AD74">
        <f t="shared" si="15"/>
        <v>0</v>
      </c>
    </row>
    <row r="75" spans="1:32" ht="22.2" thickTop="1" thickBot="1">
      <c r="A75" s="55" t="s">
        <v>108</v>
      </c>
      <c r="B75" s="56" t="s">
        <v>109</v>
      </c>
      <c r="C75" s="32"/>
      <c r="D75" s="32"/>
      <c r="E75" s="32"/>
      <c r="AA75">
        <f t="shared" si="12"/>
        <v>0</v>
      </c>
      <c r="AB75">
        <f t="shared" si="13"/>
        <v>0</v>
      </c>
      <c r="AC75">
        <f t="shared" si="14"/>
        <v>0</v>
      </c>
      <c r="AD75">
        <f t="shared" si="15"/>
        <v>0</v>
      </c>
    </row>
    <row r="76" spans="1:32" ht="55.2" thickTop="1" thickBot="1">
      <c r="A76" s="55" t="s">
        <v>110</v>
      </c>
      <c r="B76" s="56" t="s">
        <v>111</v>
      </c>
      <c r="C76" s="32"/>
      <c r="D76" s="32"/>
      <c r="E76" s="32"/>
      <c r="AA76">
        <f t="shared" si="12"/>
        <v>0</v>
      </c>
      <c r="AB76">
        <f t="shared" si="13"/>
        <v>0</v>
      </c>
      <c r="AC76">
        <f t="shared" si="14"/>
        <v>0</v>
      </c>
      <c r="AD76">
        <f t="shared" si="15"/>
        <v>0</v>
      </c>
    </row>
    <row r="77" spans="1:32" ht="73.2" thickTop="1" thickBot="1">
      <c r="A77" s="55" t="s">
        <v>112</v>
      </c>
      <c r="B77" s="56" t="s">
        <v>113</v>
      </c>
      <c r="C77" s="32"/>
      <c r="D77" s="32"/>
      <c r="E77" s="32"/>
      <c r="AA77">
        <f t="shared" si="12"/>
        <v>0</v>
      </c>
      <c r="AB77">
        <f t="shared" si="13"/>
        <v>0</v>
      </c>
      <c r="AC77">
        <f t="shared" si="14"/>
        <v>0</v>
      </c>
      <c r="AD77">
        <f t="shared" si="15"/>
        <v>0</v>
      </c>
    </row>
    <row r="78" spans="1:32" ht="33" customHeight="1" thickTop="1" thickBot="1">
      <c r="A78" s="55" t="s">
        <v>114</v>
      </c>
      <c r="B78" s="56" t="s">
        <v>115</v>
      </c>
      <c r="C78" s="32"/>
      <c r="D78" s="32"/>
      <c r="E78" s="32"/>
      <c r="AA78">
        <f t="shared" si="12"/>
        <v>0</v>
      </c>
      <c r="AB78">
        <f t="shared" si="13"/>
        <v>0</v>
      </c>
      <c r="AC78">
        <f t="shared" si="14"/>
        <v>0</v>
      </c>
      <c r="AD78">
        <f t="shared" si="15"/>
        <v>0</v>
      </c>
    </row>
    <row r="79" spans="1:32" ht="36" thickTop="1" thickBot="1">
      <c r="A79" s="57" t="s">
        <v>116</v>
      </c>
      <c r="B79" s="57" t="s">
        <v>117</v>
      </c>
      <c r="C79" s="23" t="s">
        <v>11</v>
      </c>
      <c r="D79" s="24"/>
      <c r="E79" s="25" t="str">
        <f>"Quotation: "&amp;ROUND((AE79/AF79)*100,2)&amp;"%"</f>
        <v>Quotation: 0%</v>
      </c>
      <c r="AE79">
        <f>SUM(AA80:AA98)+SUM(AB80:AB98)*0.5</f>
        <v>0</v>
      </c>
      <c r="AF79">
        <f>COUNT(AA80:AA98)-SUM(AD80:AD98)</f>
        <v>18</v>
      </c>
    </row>
    <row r="80" spans="1:32" ht="37.200000000000003" thickTop="1" thickBot="1">
      <c r="A80" s="40" t="s">
        <v>118</v>
      </c>
      <c r="B80" s="58" t="s">
        <v>119</v>
      </c>
      <c r="C80" s="41"/>
      <c r="D80" s="42"/>
      <c r="E80" s="43"/>
    </row>
    <row r="81" spans="1:30" ht="22.2" thickTop="1" thickBot="1">
      <c r="A81" s="40"/>
      <c r="B81" s="31" t="s">
        <v>120</v>
      </c>
      <c r="C81" s="32"/>
      <c r="D81" s="33"/>
      <c r="E81" s="33"/>
      <c r="AA81">
        <f t="shared" ref="AA81:AA98" si="16">IF(C81="Met",1,0)</f>
        <v>0</v>
      </c>
      <c r="AB81">
        <f t="shared" ref="AB81:AB98" si="17">IF(C81="Partially Met",1,0)</f>
        <v>0</v>
      </c>
      <c r="AC81">
        <f t="shared" ref="AC81:AC98" si="18">IF(C81="UnMet",1,0)</f>
        <v>0</v>
      </c>
      <c r="AD81">
        <f t="shared" ref="AD81:AD98" si="19">IF(C81="Not Applicable",1,0)</f>
        <v>0</v>
      </c>
    </row>
    <row r="82" spans="1:30" ht="22.2" thickTop="1" thickBot="1">
      <c r="A82" s="40"/>
      <c r="B82" s="31" t="s">
        <v>121</v>
      </c>
      <c r="C82" s="32"/>
      <c r="D82" s="33"/>
      <c r="E82" s="33"/>
      <c r="AA82">
        <f t="shared" si="16"/>
        <v>0</v>
      </c>
      <c r="AB82">
        <f t="shared" si="17"/>
        <v>0</v>
      </c>
      <c r="AC82">
        <f t="shared" si="18"/>
        <v>0</v>
      </c>
      <c r="AD82">
        <f t="shared" si="19"/>
        <v>0</v>
      </c>
    </row>
    <row r="83" spans="1:30" ht="37.200000000000003" thickTop="1" thickBot="1">
      <c r="A83" s="40"/>
      <c r="B83" s="31" t="s">
        <v>122</v>
      </c>
      <c r="C83" s="32"/>
      <c r="D83" s="33"/>
      <c r="E83" s="33"/>
      <c r="AA83">
        <f t="shared" si="16"/>
        <v>0</v>
      </c>
      <c r="AB83">
        <f t="shared" si="17"/>
        <v>0</v>
      </c>
      <c r="AC83">
        <f t="shared" si="18"/>
        <v>0</v>
      </c>
      <c r="AD83">
        <f t="shared" si="19"/>
        <v>0</v>
      </c>
    </row>
    <row r="84" spans="1:30" ht="22.2" thickTop="1" thickBot="1">
      <c r="A84" s="40"/>
      <c r="B84" s="31" t="s">
        <v>123</v>
      </c>
      <c r="C84" s="32"/>
      <c r="D84" s="33"/>
      <c r="E84" s="33"/>
      <c r="AA84">
        <f t="shared" si="16"/>
        <v>0</v>
      </c>
      <c r="AB84">
        <f t="shared" si="17"/>
        <v>0</v>
      </c>
      <c r="AC84">
        <f t="shared" si="18"/>
        <v>0</v>
      </c>
      <c r="AD84">
        <f t="shared" si="19"/>
        <v>0</v>
      </c>
    </row>
    <row r="85" spans="1:30" ht="22.2" thickTop="1" thickBot="1">
      <c r="A85" s="40"/>
      <c r="B85" s="31" t="s">
        <v>124</v>
      </c>
      <c r="C85" s="32"/>
      <c r="D85" s="33"/>
      <c r="E85" s="33"/>
      <c r="AA85">
        <f t="shared" si="16"/>
        <v>0</v>
      </c>
      <c r="AB85">
        <f t="shared" si="17"/>
        <v>0</v>
      </c>
      <c r="AC85">
        <f t="shared" si="18"/>
        <v>0</v>
      </c>
      <c r="AD85">
        <f t="shared" si="19"/>
        <v>0</v>
      </c>
    </row>
    <row r="86" spans="1:30" ht="22.2" thickTop="1" thickBot="1">
      <c r="A86" s="40"/>
      <c r="B86" s="31" t="s">
        <v>125</v>
      </c>
      <c r="C86" s="32"/>
      <c r="D86" s="33"/>
      <c r="E86" s="33"/>
      <c r="AA86">
        <f t="shared" si="16"/>
        <v>0</v>
      </c>
      <c r="AB86">
        <f t="shared" si="17"/>
        <v>0</v>
      </c>
      <c r="AC86">
        <f t="shared" si="18"/>
        <v>0</v>
      </c>
      <c r="AD86">
        <f t="shared" si="19"/>
        <v>0</v>
      </c>
    </row>
    <row r="87" spans="1:30" ht="22.2" thickTop="1" thickBot="1">
      <c r="A87" s="40"/>
      <c r="B87" s="31" t="s">
        <v>126</v>
      </c>
      <c r="C87" s="32"/>
      <c r="D87" s="33"/>
      <c r="E87" s="33"/>
      <c r="AA87">
        <f t="shared" si="16"/>
        <v>0</v>
      </c>
      <c r="AB87">
        <f t="shared" si="17"/>
        <v>0</v>
      </c>
      <c r="AC87">
        <f t="shared" si="18"/>
        <v>0</v>
      </c>
      <c r="AD87">
        <f t="shared" si="19"/>
        <v>0</v>
      </c>
    </row>
    <row r="88" spans="1:30" ht="37.200000000000003" thickTop="1" thickBot="1">
      <c r="A88" s="40"/>
      <c r="B88" s="31" t="s">
        <v>127</v>
      </c>
      <c r="C88" s="32"/>
      <c r="D88" s="33"/>
      <c r="E88" s="33"/>
      <c r="AA88">
        <f t="shared" si="16"/>
        <v>0</v>
      </c>
      <c r="AB88">
        <f t="shared" si="17"/>
        <v>0</v>
      </c>
      <c r="AC88">
        <f t="shared" si="18"/>
        <v>0</v>
      </c>
      <c r="AD88">
        <f t="shared" si="19"/>
        <v>0</v>
      </c>
    </row>
    <row r="89" spans="1:30" ht="37.200000000000003" thickTop="1" thickBot="1">
      <c r="A89" s="40"/>
      <c r="B89" s="31" t="s">
        <v>128</v>
      </c>
      <c r="C89" s="32"/>
      <c r="D89" s="33"/>
      <c r="E89" s="33"/>
      <c r="AA89">
        <f t="shared" si="16"/>
        <v>0</v>
      </c>
      <c r="AB89">
        <f t="shared" si="17"/>
        <v>0</v>
      </c>
      <c r="AC89">
        <f t="shared" si="18"/>
        <v>0</v>
      </c>
      <c r="AD89">
        <f t="shared" si="19"/>
        <v>0</v>
      </c>
    </row>
    <row r="90" spans="1:30" ht="37.200000000000003" thickTop="1" thickBot="1">
      <c r="A90" s="40"/>
      <c r="B90" s="31" t="s">
        <v>129</v>
      </c>
      <c r="C90" s="32"/>
      <c r="D90" s="33"/>
      <c r="E90" s="33"/>
      <c r="AA90">
        <f t="shared" si="16"/>
        <v>0</v>
      </c>
      <c r="AB90">
        <f t="shared" si="17"/>
        <v>0</v>
      </c>
      <c r="AC90">
        <f t="shared" si="18"/>
        <v>0</v>
      </c>
      <c r="AD90">
        <f t="shared" si="19"/>
        <v>0</v>
      </c>
    </row>
    <row r="91" spans="1:30" ht="37.200000000000003" thickTop="1" thickBot="1">
      <c r="A91" s="40"/>
      <c r="B91" s="31" t="s">
        <v>130</v>
      </c>
      <c r="C91" s="32"/>
      <c r="D91" s="33"/>
      <c r="E91" s="33"/>
      <c r="AA91">
        <f t="shared" si="16"/>
        <v>0</v>
      </c>
      <c r="AB91">
        <f t="shared" si="17"/>
        <v>0</v>
      </c>
      <c r="AC91">
        <f t="shared" si="18"/>
        <v>0</v>
      </c>
      <c r="AD91">
        <f t="shared" si="19"/>
        <v>0</v>
      </c>
    </row>
    <row r="92" spans="1:30" ht="22.2" thickTop="1" thickBot="1">
      <c r="A92" s="40"/>
      <c r="B92" s="31" t="s">
        <v>131</v>
      </c>
      <c r="C92" s="32"/>
      <c r="D92" s="33"/>
      <c r="E92" s="33"/>
      <c r="AA92">
        <f t="shared" si="16"/>
        <v>0</v>
      </c>
      <c r="AB92">
        <f t="shared" si="17"/>
        <v>0</v>
      </c>
      <c r="AC92">
        <f t="shared" si="18"/>
        <v>0</v>
      </c>
      <c r="AD92">
        <f t="shared" si="19"/>
        <v>0</v>
      </c>
    </row>
    <row r="93" spans="1:30" ht="22.2" thickTop="1" thickBot="1">
      <c r="A93" s="40"/>
      <c r="B93" s="31" t="s">
        <v>132</v>
      </c>
      <c r="C93" s="32"/>
      <c r="D93" s="33"/>
      <c r="E93" s="33"/>
      <c r="AA93">
        <f t="shared" si="16"/>
        <v>0</v>
      </c>
      <c r="AB93">
        <f t="shared" si="17"/>
        <v>0</v>
      </c>
      <c r="AC93">
        <f t="shared" si="18"/>
        <v>0</v>
      </c>
      <c r="AD93">
        <f t="shared" si="19"/>
        <v>0</v>
      </c>
    </row>
    <row r="94" spans="1:30" ht="22.2" thickTop="1" thickBot="1">
      <c r="A94" s="40"/>
      <c r="B94" s="31" t="s">
        <v>133</v>
      </c>
      <c r="C94" s="32"/>
      <c r="D94" s="33"/>
      <c r="E94" s="33"/>
      <c r="AA94">
        <f t="shared" si="16"/>
        <v>0</v>
      </c>
      <c r="AB94">
        <f t="shared" si="17"/>
        <v>0</v>
      </c>
      <c r="AC94">
        <f t="shared" si="18"/>
        <v>0</v>
      </c>
      <c r="AD94">
        <f t="shared" si="19"/>
        <v>0</v>
      </c>
    </row>
    <row r="95" spans="1:30" ht="22.2" thickTop="1" thickBot="1">
      <c r="A95" s="40"/>
      <c r="B95" s="31" t="s">
        <v>134</v>
      </c>
      <c r="C95" s="32"/>
      <c r="D95" s="33"/>
      <c r="E95" s="33"/>
      <c r="AA95">
        <f t="shared" si="16"/>
        <v>0</v>
      </c>
      <c r="AB95">
        <f t="shared" si="17"/>
        <v>0</v>
      </c>
      <c r="AC95">
        <f t="shared" si="18"/>
        <v>0</v>
      </c>
      <c r="AD95">
        <f t="shared" si="19"/>
        <v>0</v>
      </c>
    </row>
    <row r="96" spans="1:30" ht="37.200000000000003" thickTop="1" thickBot="1">
      <c r="A96" s="46" t="s">
        <v>135</v>
      </c>
      <c r="B96" s="38" t="s">
        <v>136</v>
      </c>
      <c r="C96" s="32"/>
      <c r="D96" s="33"/>
      <c r="E96" s="33"/>
      <c r="AA96">
        <f t="shared" si="16"/>
        <v>0</v>
      </c>
      <c r="AB96">
        <f t="shared" si="17"/>
        <v>0</v>
      </c>
      <c r="AC96">
        <f t="shared" si="18"/>
        <v>0</v>
      </c>
      <c r="AD96">
        <f t="shared" si="19"/>
        <v>0</v>
      </c>
    </row>
    <row r="97" spans="1:32" ht="37.200000000000003" thickTop="1" thickBot="1">
      <c r="A97" s="46" t="s">
        <v>137</v>
      </c>
      <c r="B97" s="38" t="s">
        <v>138</v>
      </c>
      <c r="C97" s="32"/>
      <c r="D97" s="33"/>
      <c r="E97" s="33"/>
      <c r="AA97">
        <f t="shared" si="16"/>
        <v>0</v>
      </c>
      <c r="AB97">
        <f t="shared" si="17"/>
        <v>0</v>
      </c>
      <c r="AC97">
        <f t="shared" si="18"/>
        <v>0</v>
      </c>
      <c r="AD97">
        <f t="shared" si="19"/>
        <v>0</v>
      </c>
    </row>
    <row r="98" spans="1:32" ht="37.200000000000003" thickTop="1" thickBot="1">
      <c r="A98" s="46" t="s">
        <v>139</v>
      </c>
      <c r="B98" s="38" t="s">
        <v>140</v>
      </c>
      <c r="C98" s="32"/>
      <c r="D98" s="33"/>
      <c r="E98" s="33"/>
      <c r="AA98">
        <f t="shared" si="16"/>
        <v>0</v>
      </c>
      <c r="AB98">
        <f t="shared" si="17"/>
        <v>0</v>
      </c>
      <c r="AC98">
        <f t="shared" si="18"/>
        <v>0</v>
      </c>
      <c r="AD98">
        <f t="shared" si="19"/>
        <v>0</v>
      </c>
    </row>
    <row r="99" spans="1:32" ht="53.4" thickTop="1" thickBot="1">
      <c r="A99" s="47" t="s">
        <v>141</v>
      </c>
      <c r="B99" s="47" t="s">
        <v>142</v>
      </c>
      <c r="C99" s="23" t="s">
        <v>99</v>
      </c>
      <c r="D99" s="24"/>
      <c r="E99" s="25" t="str">
        <f>"Quotation: "&amp;ROUND((AE99/AF99)*100,2)&amp;"%"</f>
        <v>Quotation: 0%</v>
      </c>
      <c r="AE99">
        <f>SUM(AA100:AA107)+SUM(AB100:AB107)*0.5</f>
        <v>0</v>
      </c>
      <c r="AF99">
        <f>COUNT(AA100:AA107)-SUM(AD100:AD107)</f>
        <v>8</v>
      </c>
    </row>
    <row r="100" spans="1:32" ht="22.2" thickTop="1" thickBot="1">
      <c r="A100" s="46" t="s">
        <v>143</v>
      </c>
      <c r="B100" s="38" t="s">
        <v>144</v>
      </c>
      <c r="C100" s="32"/>
      <c r="D100" s="33"/>
      <c r="E100" s="33"/>
      <c r="AA100">
        <f t="shared" ref="AA100:AA107" si="20">IF(C100="Met",1,0)</f>
        <v>0</v>
      </c>
      <c r="AB100">
        <f t="shared" ref="AB100:AB107" si="21">IF(C100="Partially Met",1,0)</f>
        <v>0</v>
      </c>
      <c r="AC100">
        <f t="shared" ref="AC100:AC107" si="22">IF(C100="UnMet",1,0)</f>
        <v>0</v>
      </c>
      <c r="AD100">
        <f t="shared" ref="AD100:AD107" si="23">IF(C100="Not Applicable",1,0)</f>
        <v>0</v>
      </c>
    </row>
    <row r="101" spans="1:32" ht="55.2" thickTop="1" thickBot="1">
      <c r="A101" s="46" t="s">
        <v>145</v>
      </c>
      <c r="B101" s="38" t="s">
        <v>146</v>
      </c>
      <c r="C101" s="32"/>
      <c r="D101" s="33"/>
      <c r="E101" s="33"/>
      <c r="AA101">
        <f t="shared" si="20"/>
        <v>0</v>
      </c>
      <c r="AB101">
        <f t="shared" si="21"/>
        <v>0</v>
      </c>
      <c r="AC101">
        <f t="shared" si="22"/>
        <v>0</v>
      </c>
      <c r="AD101">
        <f t="shared" si="23"/>
        <v>0</v>
      </c>
    </row>
    <row r="102" spans="1:32" ht="37.200000000000003" thickTop="1" thickBot="1">
      <c r="A102" s="46" t="s">
        <v>147</v>
      </c>
      <c r="B102" s="38" t="s">
        <v>148</v>
      </c>
      <c r="C102" s="32"/>
      <c r="D102" s="33"/>
      <c r="E102" s="33"/>
      <c r="AA102">
        <f t="shared" si="20"/>
        <v>0</v>
      </c>
      <c r="AB102">
        <f t="shared" si="21"/>
        <v>0</v>
      </c>
      <c r="AC102">
        <f t="shared" si="22"/>
        <v>0</v>
      </c>
      <c r="AD102">
        <f t="shared" si="23"/>
        <v>0</v>
      </c>
    </row>
    <row r="103" spans="1:32" ht="37.200000000000003" thickTop="1" thickBot="1">
      <c r="A103" s="46" t="s">
        <v>149</v>
      </c>
      <c r="B103" s="38" t="s">
        <v>150</v>
      </c>
      <c r="C103" s="32"/>
      <c r="D103" s="33"/>
      <c r="E103" s="33"/>
      <c r="AA103">
        <f t="shared" si="20"/>
        <v>0</v>
      </c>
      <c r="AB103">
        <f t="shared" si="21"/>
        <v>0</v>
      </c>
      <c r="AC103">
        <f t="shared" si="22"/>
        <v>0</v>
      </c>
      <c r="AD103">
        <f t="shared" si="23"/>
        <v>0</v>
      </c>
    </row>
    <row r="104" spans="1:32" ht="22.2" thickTop="1" thickBot="1">
      <c r="A104" s="46" t="s">
        <v>141</v>
      </c>
      <c r="B104" s="38" t="s">
        <v>151</v>
      </c>
      <c r="C104" s="32"/>
      <c r="D104" s="33"/>
      <c r="E104" s="33"/>
      <c r="AA104">
        <f t="shared" si="20"/>
        <v>0</v>
      </c>
      <c r="AB104">
        <f t="shared" si="21"/>
        <v>0</v>
      </c>
      <c r="AC104">
        <f t="shared" si="22"/>
        <v>0</v>
      </c>
      <c r="AD104">
        <f t="shared" si="23"/>
        <v>0</v>
      </c>
    </row>
    <row r="105" spans="1:32" ht="22.2" thickTop="1" thickBot="1">
      <c r="A105" s="46" t="s">
        <v>152</v>
      </c>
      <c r="B105" s="38" t="s">
        <v>153</v>
      </c>
      <c r="C105" s="32"/>
      <c r="D105" s="33"/>
      <c r="E105" s="33"/>
      <c r="AA105">
        <f t="shared" si="20"/>
        <v>0</v>
      </c>
      <c r="AB105">
        <f t="shared" si="21"/>
        <v>0</v>
      </c>
      <c r="AC105">
        <f t="shared" si="22"/>
        <v>0</v>
      </c>
      <c r="AD105">
        <f t="shared" si="23"/>
        <v>0</v>
      </c>
    </row>
    <row r="106" spans="1:32" ht="22.2" thickTop="1" thickBot="1">
      <c r="A106" s="46" t="s">
        <v>154</v>
      </c>
      <c r="B106" s="38" t="s">
        <v>155</v>
      </c>
      <c r="C106" s="32"/>
      <c r="D106" s="33"/>
      <c r="E106" s="33"/>
      <c r="AA106">
        <f t="shared" si="20"/>
        <v>0</v>
      </c>
      <c r="AB106">
        <f t="shared" si="21"/>
        <v>0</v>
      </c>
      <c r="AC106">
        <f t="shared" si="22"/>
        <v>0</v>
      </c>
      <c r="AD106">
        <f t="shared" si="23"/>
        <v>0</v>
      </c>
    </row>
    <row r="107" spans="1:32" ht="22.2" thickTop="1" thickBot="1">
      <c r="A107" s="46" t="s">
        <v>156</v>
      </c>
      <c r="B107" s="38" t="s">
        <v>157</v>
      </c>
      <c r="C107" s="32"/>
      <c r="D107" s="33"/>
      <c r="E107" s="33"/>
      <c r="AA107">
        <f t="shared" si="20"/>
        <v>0</v>
      </c>
      <c r="AB107">
        <f t="shared" si="21"/>
        <v>0</v>
      </c>
      <c r="AC107">
        <f t="shared" si="22"/>
        <v>0</v>
      </c>
      <c r="AD107">
        <f t="shared" si="23"/>
        <v>0</v>
      </c>
    </row>
    <row r="108" spans="1:32" ht="42" customHeight="1" thickTop="1" thickBot="1">
      <c r="A108" s="39" t="s">
        <v>158</v>
      </c>
      <c r="B108" s="48" t="s">
        <v>159</v>
      </c>
      <c r="C108" s="23" t="s">
        <v>160</v>
      </c>
      <c r="D108" s="24"/>
      <c r="E108" s="25" t="str">
        <f>"Quotation: "&amp;ROUND((AE108/AF108)*100,2)&amp;"%"</f>
        <v>Quotation: 0%</v>
      </c>
      <c r="AE108">
        <f>SUM(AA109:AA113)+SUM(AB109:AB113)*0.5</f>
        <v>0</v>
      </c>
      <c r="AF108">
        <f>COUNT(AA109:AA113)-SUM(AD109:AD113)</f>
        <v>5</v>
      </c>
    </row>
    <row r="109" spans="1:32" ht="37.200000000000003" thickTop="1" thickBot="1">
      <c r="A109" s="46" t="s">
        <v>161</v>
      </c>
      <c r="B109" s="38" t="s">
        <v>162</v>
      </c>
      <c r="C109" s="59"/>
      <c r="D109" s="33"/>
      <c r="E109" s="33"/>
      <c r="AA109">
        <f>IF(C109="Met",1,0)</f>
        <v>0</v>
      </c>
      <c r="AB109">
        <f>IF(C109="Partially Met",1,0)</f>
        <v>0</v>
      </c>
      <c r="AC109">
        <f>IF(C109="UnMet",1,0)</f>
        <v>0</v>
      </c>
      <c r="AD109">
        <f>IF(C109="Not Applicable",1,0)</f>
        <v>0</v>
      </c>
    </row>
    <row r="110" spans="1:32" ht="21.75" customHeight="1" thickTop="1" thickBot="1">
      <c r="A110" s="46" t="s">
        <v>163</v>
      </c>
      <c r="B110" s="38" t="s">
        <v>164</v>
      </c>
      <c r="C110" s="59"/>
      <c r="D110" s="33"/>
      <c r="E110" s="33"/>
      <c r="AA110">
        <f>IF(C110="Met",1,0)</f>
        <v>0</v>
      </c>
      <c r="AB110">
        <f>IF(C110="Partially Met",1,0)</f>
        <v>0</v>
      </c>
      <c r="AC110">
        <f>IF(C110="UnMet",1,0)</f>
        <v>0</v>
      </c>
      <c r="AD110">
        <f>IF(C110="Not Applicable",1,0)</f>
        <v>0</v>
      </c>
    </row>
    <row r="111" spans="1:32" ht="37.200000000000003" thickTop="1" thickBot="1">
      <c r="A111" s="46" t="s">
        <v>165</v>
      </c>
      <c r="B111" s="38" t="s">
        <v>166</v>
      </c>
      <c r="C111" s="59"/>
      <c r="D111" s="33"/>
      <c r="E111" s="33"/>
      <c r="AA111">
        <f>IF(C111="Met",1,0)</f>
        <v>0</v>
      </c>
      <c r="AB111">
        <f>IF(C111="Partially Met",1,0)</f>
        <v>0</v>
      </c>
      <c r="AC111">
        <f>IF(C111="UnMet",1,0)</f>
        <v>0</v>
      </c>
      <c r="AD111">
        <f>IF(C111="Not Applicable",1,0)</f>
        <v>0</v>
      </c>
    </row>
    <row r="112" spans="1:32" ht="37.200000000000003" thickTop="1" thickBot="1">
      <c r="A112" s="46" t="s">
        <v>167</v>
      </c>
      <c r="B112" s="38" t="s">
        <v>168</v>
      </c>
      <c r="C112" s="59"/>
      <c r="D112" s="33"/>
      <c r="E112" s="33"/>
      <c r="AA112">
        <f>IF(C112="Met",1,0)</f>
        <v>0</v>
      </c>
      <c r="AB112">
        <f>IF(C112="Partially Met",1,0)</f>
        <v>0</v>
      </c>
      <c r="AC112">
        <f>IF(C112="UnMet",1,0)</f>
        <v>0</v>
      </c>
      <c r="AD112">
        <f>IF(C112="Not Applicable",1,0)</f>
        <v>0</v>
      </c>
    </row>
    <row r="113" spans="1:32" ht="37.200000000000003" thickTop="1" thickBot="1">
      <c r="A113" s="46" t="s">
        <v>169</v>
      </c>
      <c r="B113" s="38" t="s">
        <v>170</v>
      </c>
      <c r="C113" s="59"/>
      <c r="D113" s="33"/>
      <c r="E113" s="33"/>
      <c r="AA113">
        <f>IF(C113="Met",1,0)</f>
        <v>0</v>
      </c>
      <c r="AB113">
        <f>IF(C113="Partially Met",1,0)</f>
        <v>0</v>
      </c>
      <c r="AC113">
        <f>IF(C113="UnMet",1,0)</f>
        <v>0</v>
      </c>
      <c r="AD113">
        <f>IF(C113="Not Applicable",1,0)</f>
        <v>0</v>
      </c>
    </row>
    <row r="114" spans="1:32" ht="36" thickTop="1" thickBot="1">
      <c r="A114" s="47" t="s">
        <v>171</v>
      </c>
      <c r="B114" s="60" t="s">
        <v>172</v>
      </c>
      <c r="C114" s="23" t="s">
        <v>173</v>
      </c>
      <c r="D114" s="24"/>
      <c r="E114" s="25" t="str">
        <f>"Quotation: "&amp;ROUND((AE114/AF114)*100,2)&amp;"%"</f>
        <v>Quotation: 0%</v>
      </c>
      <c r="AE114">
        <f>SUM(AA115:AA128)+SUM(AB115:AB128)*0.5</f>
        <v>0</v>
      </c>
      <c r="AF114">
        <f>COUNT(AA115:AA128)-SUM(AD115:AD128)</f>
        <v>13</v>
      </c>
    </row>
    <row r="115" spans="1:32" ht="37.200000000000003" thickTop="1" thickBot="1">
      <c r="A115" s="40" t="s">
        <v>174</v>
      </c>
      <c r="B115" s="27" t="s">
        <v>175</v>
      </c>
      <c r="C115" s="41"/>
      <c r="D115" s="42"/>
      <c r="E115" s="43"/>
    </row>
    <row r="116" spans="1:32" ht="22.2" thickTop="1" thickBot="1">
      <c r="A116" s="40"/>
      <c r="B116" s="61" t="s">
        <v>176</v>
      </c>
      <c r="C116" s="32"/>
      <c r="D116" s="33"/>
      <c r="E116" s="33"/>
      <c r="AA116">
        <f t="shared" ref="AA116:AA128" si="24">IF(C116="Met",1,0)</f>
        <v>0</v>
      </c>
      <c r="AB116">
        <f t="shared" ref="AB116:AB128" si="25">IF(C116="Partially Met",1,0)</f>
        <v>0</v>
      </c>
      <c r="AC116">
        <f t="shared" ref="AC116:AC128" si="26">IF(C116="UnMet",1,0)</f>
        <v>0</v>
      </c>
      <c r="AD116">
        <f t="shared" ref="AD116:AD128" si="27">IF(C116="Not Applicable",1,0)</f>
        <v>0</v>
      </c>
    </row>
    <row r="117" spans="1:32" ht="22.2" thickTop="1" thickBot="1">
      <c r="A117" s="40"/>
      <c r="B117" s="61" t="s">
        <v>177</v>
      </c>
      <c r="C117" s="32"/>
      <c r="D117" s="33"/>
      <c r="E117" s="33"/>
      <c r="AA117">
        <f t="shared" si="24"/>
        <v>0</v>
      </c>
      <c r="AB117">
        <f t="shared" si="25"/>
        <v>0</v>
      </c>
      <c r="AC117">
        <f t="shared" si="26"/>
        <v>0</v>
      </c>
      <c r="AD117">
        <f t="shared" si="27"/>
        <v>0</v>
      </c>
    </row>
    <row r="118" spans="1:32" ht="22.2" thickTop="1" thickBot="1">
      <c r="A118" s="40"/>
      <c r="B118" s="61" t="s">
        <v>178</v>
      </c>
      <c r="C118" s="32"/>
      <c r="D118" s="33"/>
      <c r="E118" s="33"/>
      <c r="AA118">
        <f t="shared" si="24"/>
        <v>0</v>
      </c>
      <c r="AB118">
        <f t="shared" si="25"/>
        <v>0</v>
      </c>
      <c r="AC118">
        <f t="shared" si="26"/>
        <v>0</v>
      </c>
      <c r="AD118">
        <f t="shared" si="27"/>
        <v>0</v>
      </c>
    </row>
    <row r="119" spans="1:32" ht="22.2" thickTop="1" thickBot="1">
      <c r="A119" s="40"/>
      <c r="B119" s="61" t="s">
        <v>179</v>
      </c>
      <c r="C119" s="32"/>
      <c r="D119" s="33"/>
      <c r="E119" s="33"/>
      <c r="AA119">
        <f t="shared" si="24"/>
        <v>0</v>
      </c>
      <c r="AB119">
        <f t="shared" si="25"/>
        <v>0</v>
      </c>
      <c r="AC119">
        <f t="shared" si="26"/>
        <v>0</v>
      </c>
      <c r="AD119">
        <f t="shared" si="27"/>
        <v>0</v>
      </c>
    </row>
    <row r="120" spans="1:32" ht="22.2" thickTop="1" thickBot="1">
      <c r="A120" s="40"/>
      <c r="B120" s="61" t="s">
        <v>180</v>
      </c>
      <c r="C120" s="32"/>
      <c r="D120" s="33"/>
      <c r="E120" s="33"/>
      <c r="AA120">
        <f t="shared" si="24"/>
        <v>0</v>
      </c>
      <c r="AB120">
        <f t="shared" si="25"/>
        <v>0</v>
      </c>
      <c r="AC120">
        <f t="shared" si="26"/>
        <v>0</v>
      </c>
      <c r="AD120">
        <f t="shared" si="27"/>
        <v>0</v>
      </c>
    </row>
    <row r="121" spans="1:32" ht="22.2" thickTop="1" thickBot="1">
      <c r="A121" s="40"/>
      <c r="B121" s="61" t="s">
        <v>181</v>
      </c>
      <c r="C121" s="32"/>
      <c r="D121" s="33"/>
      <c r="E121" s="33"/>
      <c r="AA121">
        <f t="shared" si="24"/>
        <v>0</v>
      </c>
      <c r="AB121">
        <f t="shared" si="25"/>
        <v>0</v>
      </c>
      <c r="AC121">
        <f t="shared" si="26"/>
        <v>0</v>
      </c>
      <c r="AD121">
        <f t="shared" si="27"/>
        <v>0</v>
      </c>
    </row>
    <row r="122" spans="1:32" ht="22.2" thickTop="1" thickBot="1">
      <c r="A122" s="40"/>
      <c r="B122" s="61" t="s">
        <v>182</v>
      </c>
      <c r="C122" s="32"/>
      <c r="D122" s="33"/>
      <c r="E122" s="33"/>
      <c r="AA122">
        <f t="shared" si="24"/>
        <v>0</v>
      </c>
      <c r="AB122">
        <f t="shared" si="25"/>
        <v>0</v>
      </c>
      <c r="AC122">
        <f t="shared" si="26"/>
        <v>0</v>
      </c>
      <c r="AD122">
        <f t="shared" si="27"/>
        <v>0</v>
      </c>
    </row>
    <row r="123" spans="1:32" ht="22.2" thickTop="1" thickBot="1">
      <c r="A123" s="40"/>
      <c r="B123" s="61" t="s">
        <v>183</v>
      </c>
      <c r="C123" s="32"/>
      <c r="D123" s="33"/>
      <c r="E123" s="33"/>
      <c r="AA123">
        <f t="shared" si="24"/>
        <v>0</v>
      </c>
      <c r="AB123">
        <f t="shared" si="25"/>
        <v>0</v>
      </c>
      <c r="AC123">
        <f t="shared" si="26"/>
        <v>0</v>
      </c>
      <c r="AD123">
        <f t="shared" si="27"/>
        <v>0</v>
      </c>
    </row>
    <row r="124" spans="1:32" ht="22.2" thickTop="1" thickBot="1">
      <c r="A124" s="40"/>
      <c r="B124" s="61" t="s">
        <v>184</v>
      </c>
      <c r="C124" s="32"/>
      <c r="D124" s="33"/>
      <c r="E124" s="33"/>
      <c r="AA124">
        <f t="shared" si="24"/>
        <v>0</v>
      </c>
      <c r="AB124">
        <f t="shared" si="25"/>
        <v>0</v>
      </c>
      <c r="AC124">
        <f t="shared" si="26"/>
        <v>0</v>
      </c>
      <c r="AD124">
        <f t="shared" si="27"/>
        <v>0</v>
      </c>
    </row>
    <row r="125" spans="1:32" ht="22.2" thickTop="1" thickBot="1">
      <c r="A125" s="40"/>
      <c r="B125" s="61" t="s">
        <v>185</v>
      </c>
      <c r="C125" s="32"/>
      <c r="D125" s="33"/>
      <c r="E125" s="33"/>
      <c r="AA125">
        <f t="shared" si="24"/>
        <v>0</v>
      </c>
      <c r="AB125">
        <f t="shared" si="25"/>
        <v>0</v>
      </c>
      <c r="AC125">
        <f t="shared" si="26"/>
        <v>0</v>
      </c>
      <c r="AD125">
        <f t="shared" si="27"/>
        <v>0</v>
      </c>
    </row>
    <row r="126" spans="1:32" ht="22.2" thickTop="1" thickBot="1">
      <c r="A126" s="40"/>
      <c r="B126" s="61" t="s">
        <v>186</v>
      </c>
      <c r="C126" s="32"/>
      <c r="D126" s="33"/>
      <c r="E126" s="33"/>
      <c r="AA126">
        <f t="shared" si="24"/>
        <v>0</v>
      </c>
      <c r="AB126">
        <f t="shared" si="25"/>
        <v>0</v>
      </c>
      <c r="AC126">
        <f t="shared" si="26"/>
        <v>0</v>
      </c>
      <c r="AD126">
        <f t="shared" si="27"/>
        <v>0</v>
      </c>
    </row>
    <row r="127" spans="1:32" ht="55.2" thickTop="1" thickBot="1">
      <c r="A127" s="46" t="s">
        <v>187</v>
      </c>
      <c r="B127" s="38" t="s">
        <v>188</v>
      </c>
      <c r="C127" s="32"/>
      <c r="D127" s="33"/>
      <c r="E127" s="33"/>
      <c r="AA127">
        <f t="shared" si="24"/>
        <v>0</v>
      </c>
      <c r="AB127">
        <f t="shared" si="25"/>
        <v>0</v>
      </c>
      <c r="AC127">
        <f t="shared" si="26"/>
        <v>0</v>
      </c>
      <c r="AD127">
        <f t="shared" si="27"/>
        <v>0</v>
      </c>
    </row>
    <row r="128" spans="1:32" ht="37.200000000000003" thickTop="1" thickBot="1">
      <c r="A128" s="46" t="s">
        <v>189</v>
      </c>
      <c r="B128" s="38" t="s">
        <v>190</v>
      </c>
      <c r="C128" s="32"/>
      <c r="D128" s="33"/>
      <c r="E128" s="33"/>
      <c r="AA128">
        <f t="shared" si="24"/>
        <v>0</v>
      </c>
      <c r="AB128">
        <f t="shared" si="25"/>
        <v>0</v>
      </c>
      <c r="AC128">
        <f t="shared" si="26"/>
        <v>0</v>
      </c>
      <c r="AD128">
        <f t="shared" si="27"/>
        <v>0</v>
      </c>
    </row>
    <row r="129" spans="1:32" ht="67.5" customHeight="1" thickTop="1" thickBot="1">
      <c r="A129" s="47" t="s">
        <v>191</v>
      </c>
      <c r="B129" s="47" t="s">
        <v>192</v>
      </c>
      <c r="C129" s="23" t="s">
        <v>193</v>
      </c>
      <c r="D129" s="24"/>
      <c r="E129" s="25" t="str">
        <f>"Quotation: "&amp;ROUND((AE129/AF129)*100,2)&amp;"%"</f>
        <v>Quotation: 0%</v>
      </c>
      <c r="AE129">
        <f>SUM(AA130:AA145)+SUM(AB130:AB145)*0.5</f>
        <v>0</v>
      </c>
      <c r="AF129">
        <f>COUNT(AA130:AA145)-SUM(AD130:AD145)</f>
        <v>15</v>
      </c>
    </row>
    <row r="130" spans="1:32" ht="37.200000000000003" thickTop="1" thickBot="1">
      <c r="A130" s="46" t="s">
        <v>194</v>
      </c>
      <c r="B130" s="38" t="s">
        <v>195</v>
      </c>
      <c r="C130" s="32"/>
      <c r="D130" s="33"/>
      <c r="E130" s="33"/>
      <c r="AA130">
        <f>IF(C130="Met",1,0)</f>
        <v>0</v>
      </c>
      <c r="AB130">
        <f>IF(C130="Partially Met",1,0)</f>
        <v>0</v>
      </c>
      <c r="AC130">
        <f>IF(C130="UnMet",1,0)</f>
        <v>0</v>
      </c>
      <c r="AD130">
        <f>IF(C130="Not Applicable",1,0)</f>
        <v>0</v>
      </c>
    </row>
    <row r="131" spans="1:32" ht="37.200000000000003" thickTop="1" thickBot="1">
      <c r="A131" s="40" t="s">
        <v>196</v>
      </c>
      <c r="B131" s="27" t="s">
        <v>197</v>
      </c>
      <c r="C131" s="41"/>
      <c r="D131" s="42"/>
      <c r="E131" s="43"/>
    </row>
    <row r="132" spans="1:32" ht="22.2" thickTop="1" thickBot="1">
      <c r="A132" s="40"/>
      <c r="B132" s="62" t="s">
        <v>198</v>
      </c>
      <c r="C132" s="32"/>
      <c r="D132" s="33"/>
      <c r="E132" s="33"/>
      <c r="AA132">
        <f t="shared" ref="AA132:AA145" si="28">IF(C132="Met",1,0)</f>
        <v>0</v>
      </c>
      <c r="AB132">
        <f t="shared" ref="AB132:AB145" si="29">IF(C132="Partially Met",1,0)</f>
        <v>0</v>
      </c>
      <c r="AC132">
        <f t="shared" ref="AC132:AC145" si="30">IF(C132="UnMet",1,0)</f>
        <v>0</v>
      </c>
      <c r="AD132">
        <f t="shared" ref="AD132:AD145" si="31">IF(C132="Not Applicable",1,0)</f>
        <v>0</v>
      </c>
    </row>
    <row r="133" spans="1:32" ht="22.2" thickTop="1" thickBot="1">
      <c r="A133" s="40"/>
      <c r="B133" s="62" t="s">
        <v>199</v>
      </c>
      <c r="C133" s="32"/>
      <c r="D133" s="33"/>
      <c r="E133" s="33"/>
      <c r="AA133">
        <f t="shared" si="28"/>
        <v>0</v>
      </c>
      <c r="AB133">
        <f t="shared" si="29"/>
        <v>0</v>
      </c>
      <c r="AC133">
        <f t="shared" si="30"/>
        <v>0</v>
      </c>
      <c r="AD133">
        <f t="shared" si="31"/>
        <v>0</v>
      </c>
    </row>
    <row r="134" spans="1:32" ht="22.2" thickTop="1" thickBot="1">
      <c r="A134" s="40"/>
      <c r="B134" s="62" t="s">
        <v>200</v>
      </c>
      <c r="C134" s="32"/>
      <c r="D134" s="33"/>
      <c r="E134" s="33"/>
      <c r="AA134">
        <f t="shared" si="28"/>
        <v>0</v>
      </c>
      <c r="AB134">
        <f t="shared" si="29"/>
        <v>0</v>
      </c>
      <c r="AC134">
        <f t="shared" si="30"/>
        <v>0</v>
      </c>
      <c r="AD134">
        <f t="shared" si="31"/>
        <v>0</v>
      </c>
    </row>
    <row r="135" spans="1:32" ht="22.2" thickTop="1" thickBot="1">
      <c r="A135" s="40"/>
      <c r="B135" s="62" t="s">
        <v>201</v>
      </c>
      <c r="C135" s="32"/>
      <c r="D135" s="33"/>
      <c r="E135" s="33"/>
      <c r="AA135">
        <f t="shared" si="28"/>
        <v>0</v>
      </c>
      <c r="AB135">
        <f t="shared" si="29"/>
        <v>0</v>
      </c>
      <c r="AC135">
        <f t="shared" si="30"/>
        <v>0</v>
      </c>
      <c r="AD135">
        <f t="shared" si="31"/>
        <v>0</v>
      </c>
    </row>
    <row r="136" spans="1:32" ht="22.2" thickTop="1" thickBot="1">
      <c r="A136" s="40"/>
      <c r="B136" s="62" t="s">
        <v>202</v>
      </c>
      <c r="C136" s="32"/>
      <c r="D136" s="33"/>
      <c r="E136" s="33"/>
      <c r="AA136">
        <f t="shared" si="28"/>
        <v>0</v>
      </c>
      <c r="AB136">
        <f t="shared" si="29"/>
        <v>0</v>
      </c>
      <c r="AC136">
        <f t="shared" si="30"/>
        <v>0</v>
      </c>
      <c r="AD136">
        <f t="shared" si="31"/>
        <v>0</v>
      </c>
    </row>
    <row r="137" spans="1:32" ht="22.2" thickTop="1" thickBot="1">
      <c r="A137" s="40"/>
      <c r="B137" s="62" t="s">
        <v>203</v>
      </c>
      <c r="C137" s="32"/>
      <c r="D137" s="33"/>
      <c r="E137" s="33"/>
      <c r="AA137">
        <f t="shared" si="28"/>
        <v>0</v>
      </c>
      <c r="AB137">
        <f t="shared" si="29"/>
        <v>0</v>
      </c>
      <c r="AC137">
        <f t="shared" si="30"/>
        <v>0</v>
      </c>
      <c r="AD137">
        <f t="shared" si="31"/>
        <v>0</v>
      </c>
    </row>
    <row r="138" spans="1:32" ht="22.2" thickTop="1" thickBot="1">
      <c r="A138" s="40"/>
      <c r="B138" s="62" t="s">
        <v>204</v>
      </c>
      <c r="C138" s="32"/>
      <c r="D138" s="33"/>
      <c r="E138" s="33"/>
      <c r="AA138">
        <f t="shared" si="28"/>
        <v>0</v>
      </c>
      <c r="AB138">
        <f t="shared" si="29"/>
        <v>0</v>
      </c>
      <c r="AC138">
        <f t="shared" si="30"/>
        <v>0</v>
      </c>
      <c r="AD138">
        <f t="shared" si="31"/>
        <v>0</v>
      </c>
    </row>
    <row r="139" spans="1:32" ht="22.2" thickTop="1" thickBot="1">
      <c r="A139" s="40"/>
      <c r="B139" s="62" t="s">
        <v>205</v>
      </c>
      <c r="C139" s="32"/>
      <c r="D139" s="33"/>
      <c r="E139" s="33"/>
      <c r="AA139">
        <f t="shared" si="28"/>
        <v>0</v>
      </c>
      <c r="AB139">
        <f t="shared" si="29"/>
        <v>0</v>
      </c>
      <c r="AC139">
        <f t="shared" si="30"/>
        <v>0</v>
      </c>
      <c r="AD139">
        <f t="shared" si="31"/>
        <v>0</v>
      </c>
    </row>
    <row r="140" spans="1:32" ht="22.2" thickTop="1" thickBot="1">
      <c r="A140" s="40"/>
      <c r="B140" s="62" t="s">
        <v>206</v>
      </c>
      <c r="C140" s="32"/>
      <c r="D140" s="33"/>
      <c r="E140" s="33"/>
      <c r="AA140">
        <f t="shared" si="28"/>
        <v>0</v>
      </c>
      <c r="AB140">
        <f t="shared" si="29"/>
        <v>0</v>
      </c>
      <c r="AC140">
        <f t="shared" si="30"/>
        <v>0</v>
      </c>
      <c r="AD140">
        <f t="shared" si="31"/>
        <v>0</v>
      </c>
    </row>
    <row r="141" spans="1:32" ht="55.2" thickTop="1" thickBot="1">
      <c r="A141" s="46" t="s">
        <v>207</v>
      </c>
      <c r="B141" s="38" t="s">
        <v>208</v>
      </c>
      <c r="C141" s="32"/>
      <c r="D141" s="33"/>
      <c r="E141" s="33"/>
      <c r="AA141">
        <f t="shared" si="28"/>
        <v>0</v>
      </c>
      <c r="AB141">
        <f t="shared" si="29"/>
        <v>0</v>
      </c>
      <c r="AC141">
        <f t="shared" si="30"/>
        <v>0</v>
      </c>
      <c r="AD141">
        <f t="shared" si="31"/>
        <v>0</v>
      </c>
    </row>
    <row r="142" spans="1:32" ht="37.200000000000003" thickTop="1" thickBot="1">
      <c r="A142" s="46" t="s">
        <v>209</v>
      </c>
      <c r="B142" s="38" t="s">
        <v>210</v>
      </c>
      <c r="C142" s="32"/>
      <c r="D142" s="33"/>
      <c r="E142" s="33"/>
      <c r="AA142">
        <f t="shared" si="28"/>
        <v>0</v>
      </c>
      <c r="AB142">
        <f t="shared" si="29"/>
        <v>0</v>
      </c>
      <c r="AC142">
        <f t="shared" si="30"/>
        <v>0</v>
      </c>
      <c r="AD142">
        <f t="shared" si="31"/>
        <v>0</v>
      </c>
    </row>
    <row r="143" spans="1:32" ht="37.200000000000003" thickTop="1" thickBot="1">
      <c r="A143" s="46" t="s">
        <v>211</v>
      </c>
      <c r="B143" s="38" t="s">
        <v>212</v>
      </c>
      <c r="C143" s="32"/>
      <c r="D143" s="33"/>
      <c r="E143" s="33"/>
      <c r="AA143">
        <f t="shared" si="28"/>
        <v>0</v>
      </c>
      <c r="AB143">
        <f t="shared" si="29"/>
        <v>0</v>
      </c>
      <c r="AC143">
        <f t="shared" si="30"/>
        <v>0</v>
      </c>
      <c r="AD143">
        <f t="shared" si="31"/>
        <v>0</v>
      </c>
    </row>
    <row r="144" spans="1:32" ht="37.200000000000003" thickTop="1" thickBot="1">
      <c r="A144" s="46" t="s">
        <v>213</v>
      </c>
      <c r="B144" s="38" t="s">
        <v>214</v>
      </c>
      <c r="C144" s="32"/>
      <c r="D144" s="33"/>
      <c r="E144" s="33"/>
      <c r="AA144">
        <f t="shared" si="28"/>
        <v>0</v>
      </c>
      <c r="AB144">
        <f t="shared" si="29"/>
        <v>0</v>
      </c>
      <c r="AC144">
        <f t="shared" si="30"/>
        <v>0</v>
      </c>
      <c r="AD144">
        <f t="shared" si="31"/>
        <v>0</v>
      </c>
    </row>
    <row r="145" spans="1:32" ht="37.200000000000003" thickTop="1" thickBot="1">
      <c r="A145" s="46" t="s">
        <v>215</v>
      </c>
      <c r="B145" s="38" t="s">
        <v>216</v>
      </c>
      <c r="C145" s="32"/>
      <c r="D145" s="33"/>
      <c r="E145" s="33"/>
      <c r="AA145">
        <f t="shared" si="28"/>
        <v>0</v>
      </c>
      <c r="AB145">
        <f t="shared" si="29"/>
        <v>0</v>
      </c>
      <c r="AC145">
        <f t="shared" si="30"/>
        <v>0</v>
      </c>
      <c r="AD145">
        <f t="shared" si="31"/>
        <v>0</v>
      </c>
    </row>
    <row r="146" spans="1:32" ht="70.8" thickTop="1" thickBot="1">
      <c r="A146" s="47" t="s">
        <v>217</v>
      </c>
      <c r="B146" s="22" t="s">
        <v>218</v>
      </c>
      <c r="C146" s="23" t="s">
        <v>219</v>
      </c>
      <c r="D146" s="24"/>
      <c r="E146" s="25" t="str">
        <f>"Quotation: "&amp;ROUND((AE146/AF146)*100,2)&amp;"%"</f>
        <v>Quotation: 0%</v>
      </c>
      <c r="AE146">
        <f>SUM(AA147:AA153)+SUM(AB147:AB153)*0.5</f>
        <v>0</v>
      </c>
      <c r="AF146">
        <f>COUNT(AA147:AA153)-SUM(AD147:AD153)</f>
        <v>7</v>
      </c>
    </row>
    <row r="147" spans="1:32" ht="55.2" thickTop="1" thickBot="1">
      <c r="A147" s="63" t="s">
        <v>220</v>
      </c>
      <c r="B147" s="49" t="s">
        <v>221</v>
      </c>
      <c r="C147" s="50"/>
      <c r="D147" s="50"/>
      <c r="E147" s="50"/>
      <c r="AA147">
        <f t="shared" ref="AA147:AA153" si="32">IF(C147="Met",1,0)</f>
        <v>0</v>
      </c>
      <c r="AB147">
        <f t="shared" ref="AB147:AB153" si="33">IF(C147="Partially Met",1,0)</f>
        <v>0</v>
      </c>
      <c r="AC147">
        <f t="shared" ref="AC147:AC153" si="34">IF(C147="UnMet",1,0)</f>
        <v>0</v>
      </c>
      <c r="AD147">
        <f t="shared" ref="AD147:AD153" si="35">IF(C147="Not Applicable",1,0)</f>
        <v>0</v>
      </c>
    </row>
    <row r="148" spans="1:32" ht="37.200000000000003" thickTop="1" thickBot="1">
      <c r="A148" s="46" t="s">
        <v>222</v>
      </c>
      <c r="B148" s="38" t="s">
        <v>223</v>
      </c>
      <c r="C148" s="32"/>
      <c r="D148" s="33"/>
      <c r="E148" s="33"/>
      <c r="AA148">
        <f t="shared" si="32"/>
        <v>0</v>
      </c>
      <c r="AB148">
        <f t="shared" si="33"/>
        <v>0</v>
      </c>
      <c r="AC148">
        <f t="shared" si="34"/>
        <v>0</v>
      </c>
      <c r="AD148">
        <f t="shared" si="35"/>
        <v>0</v>
      </c>
    </row>
    <row r="149" spans="1:32" ht="22.2" thickTop="1" thickBot="1">
      <c r="A149" s="46" t="s">
        <v>224</v>
      </c>
      <c r="B149" s="38" t="s">
        <v>225</v>
      </c>
      <c r="C149" s="32"/>
      <c r="D149" s="33"/>
      <c r="E149" s="33"/>
      <c r="AA149">
        <f t="shared" si="32"/>
        <v>0</v>
      </c>
      <c r="AB149">
        <f t="shared" si="33"/>
        <v>0</v>
      </c>
      <c r="AC149">
        <f t="shared" si="34"/>
        <v>0</v>
      </c>
      <c r="AD149">
        <f t="shared" si="35"/>
        <v>0</v>
      </c>
    </row>
    <row r="150" spans="1:32" ht="22.2" thickTop="1" thickBot="1">
      <c r="A150" s="46" t="s">
        <v>226</v>
      </c>
      <c r="B150" s="38" t="s">
        <v>227</v>
      </c>
      <c r="C150" s="32"/>
      <c r="D150" s="33"/>
      <c r="E150" s="33"/>
      <c r="AA150">
        <f t="shared" si="32"/>
        <v>0</v>
      </c>
      <c r="AB150">
        <f t="shared" si="33"/>
        <v>0</v>
      </c>
      <c r="AC150">
        <f t="shared" si="34"/>
        <v>0</v>
      </c>
      <c r="AD150">
        <f t="shared" si="35"/>
        <v>0</v>
      </c>
    </row>
    <row r="151" spans="1:32" ht="37.200000000000003" thickTop="1" thickBot="1">
      <c r="A151" s="46" t="s">
        <v>228</v>
      </c>
      <c r="B151" s="38" t="s">
        <v>229</v>
      </c>
      <c r="C151" s="32"/>
      <c r="D151" s="33"/>
      <c r="E151" s="33"/>
      <c r="AA151">
        <f t="shared" si="32"/>
        <v>0</v>
      </c>
      <c r="AB151">
        <f t="shared" si="33"/>
        <v>0</v>
      </c>
      <c r="AC151">
        <f t="shared" si="34"/>
        <v>0</v>
      </c>
      <c r="AD151">
        <f t="shared" si="35"/>
        <v>0</v>
      </c>
    </row>
    <row r="152" spans="1:32" ht="37.200000000000003" thickTop="1" thickBot="1">
      <c r="A152" s="46" t="s">
        <v>230</v>
      </c>
      <c r="B152" s="38" t="s">
        <v>231</v>
      </c>
      <c r="C152" s="32"/>
      <c r="D152" s="33"/>
      <c r="E152" s="33"/>
      <c r="AA152">
        <f t="shared" si="32"/>
        <v>0</v>
      </c>
      <c r="AB152">
        <f t="shared" si="33"/>
        <v>0</v>
      </c>
      <c r="AC152">
        <f t="shared" si="34"/>
        <v>0</v>
      </c>
      <c r="AD152">
        <f t="shared" si="35"/>
        <v>0</v>
      </c>
    </row>
    <row r="153" spans="1:32" ht="37.200000000000003" thickTop="1" thickBot="1">
      <c r="A153" s="46" t="s">
        <v>232</v>
      </c>
      <c r="B153" s="38" t="s">
        <v>233</v>
      </c>
      <c r="C153" s="32"/>
      <c r="D153" s="33"/>
      <c r="E153" s="33"/>
      <c r="AA153">
        <f t="shared" si="32"/>
        <v>0</v>
      </c>
      <c r="AB153">
        <f t="shared" si="33"/>
        <v>0</v>
      </c>
      <c r="AC153">
        <f t="shared" si="34"/>
        <v>0</v>
      </c>
      <c r="AD153">
        <f t="shared" si="35"/>
        <v>0</v>
      </c>
    </row>
    <row r="154" spans="1:32" ht="69.75" customHeight="1" thickTop="1" thickBot="1">
      <c r="A154" s="47" t="s">
        <v>234</v>
      </c>
      <c r="B154" s="47" t="s">
        <v>235</v>
      </c>
      <c r="C154" s="23" t="s">
        <v>236</v>
      </c>
      <c r="D154" s="24"/>
      <c r="E154" s="25" t="str">
        <f>"Quotation: "&amp;ROUND((AE154/AF154)*100,2)&amp;"%"</f>
        <v>Quotation: 0%</v>
      </c>
      <c r="AE154">
        <f>SUM(AA155:AA165)+SUM(AB155:AB165)*0.5</f>
        <v>0</v>
      </c>
      <c r="AF154">
        <f>COUNT(AA155:AA165)-SUM(AD155:AD165)</f>
        <v>10</v>
      </c>
    </row>
    <row r="155" spans="1:32" ht="73.2" thickTop="1" thickBot="1">
      <c r="A155" s="46" t="s">
        <v>237</v>
      </c>
      <c r="B155" s="38" t="s">
        <v>238</v>
      </c>
      <c r="C155" s="32"/>
      <c r="D155" s="33"/>
      <c r="E155" s="33"/>
      <c r="AA155">
        <f>IF(C155="Met",1,0)</f>
        <v>0</v>
      </c>
      <c r="AB155">
        <f>IF(C155="Partially Met",1,0)</f>
        <v>0</v>
      </c>
      <c r="AC155">
        <f>IF(C155="UnMet",1,0)</f>
        <v>0</v>
      </c>
      <c r="AD155">
        <f>IF(C155="Not Applicable",1,0)</f>
        <v>0</v>
      </c>
    </row>
    <row r="156" spans="1:32" ht="37.200000000000003" thickTop="1" thickBot="1">
      <c r="A156" s="40" t="s">
        <v>239</v>
      </c>
      <c r="B156" s="27" t="s">
        <v>240</v>
      </c>
      <c r="C156" s="41"/>
      <c r="D156" s="42"/>
      <c r="E156" s="43"/>
    </row>
    <row r="157" spans="1:32" ht="22.2" thickTop="1" thickBot="1">
      <c r="A157" s="40"/>
      <c r="B157" s="64" t="s">
        <v>241</v>
      </c>
      <c r="C157" s="32"/>
      <c r="D157" s="33"/>
      <c r="E157" s="33"/>
      <c r="AA157">
        <f t="shared" ref="AA157:AA165" si="36">IF(C157="Met",1,0)</f>
        <v>0</v>
      </c>
      <c r="AB157">
        <f t="shared" ref="AB157:AB165" si="37">IF(C157="Partially Met",1,0)</f>
        <v>0</v>
      </c>
      <c r="AC157">
        <f t="shared" ref="AC157:AC165" si="38">IF(C157="UnMet",1,0)</f>
        <v>0</v>
      </c>
      <c r="AD157">
        <f t="shared" ref="AD157:AD165" si="39">IF(C157="Not Applicable",1,0)</f>
        <v>0</v>
      </c>
    </row>
    <row r="158" spans="1:32" ht="37.200000000000003" thickTop="1" thickBot="1">
      <c r="A158" s="40"/>
      <c r="B158" s="64" t="s">
        <v>242</v>
      </c>
      <c r="C158" s="32"/>
      <c r="D158" s="33"/>
      <c r="E158" s="33"/>
      <c r="AA158">
        <f t="shared" si="36"/>
        <v>0</v>
      </c>
      <c r="AB158">
        <f t="shared" si="37"/>
        <v>0</v>
      </c>
      <c r="AC158">
        <f t="shared" si="38"/>
        <v>0</v>
      </c>
      <c r="AD158">
        <f t="shared" si="39"/>
        <v>0</v>
      </c>
    </row>
    <row r="159" spans="1:32" ht="22.2" thickTop="1" thickBot="1">
      <c r="A159" s="40"/>
      <c r="B159" s="64" t="s">
        <v>243</v>
      </c>
      <c r="C159" s="32"/>
      <c r="D159" s="33"/>
      <c r="E159" s="33"/>
      <c r="AA159">
        <f t="shared" si="36"/>
        <v>0</v>
      </c>
      <c r="AB159">
        <f t="shared" si="37"/>
        <v>0</v>
      </c>
      <c r="AC159">
        <f t="shared" si="38"/>
        <v>0</v>
      </c>
      <c r="AD159">
        <f t="shared" si="39"/>
        <v>0</v>
      </c>
    </row>
    <row r="160" spans="1:32" ht="37.200000000000003" thickTop="1" thickBot="1">
      <c r="A160" s="40"/>
      <c r="B160" s="64" t="s">
        <v>244</v>
      </c>
      <c r="C160" s="32"/>
      <c r="D160" s="33"/>
      <c r="E160" s="33"/>
      <c r="AA160">
        <f t="shared" si="36"/>
        <v>0</v>
      </c>
      <c r="AB160">
        <f t="shared" si="37"/>
        <v>0</v>
      </c>
      <c r="AC160">
        <f t="shared" si="38"/>
        <v>0</v>
      </c>
      <c r="AD160">
        <f t="shared" si="39"/>
        <v>0</v>
      </c>
    </row>
    <row r="161" spans="1:32" ht="22.2" thickTop="1" thickBot="1">
      <c r="A161" s="40"/>
      <c r="B161" s="64" t="s">
        <v>245</v>
      </c>
      <c r="C161" s="32"/>
      <c r="D161" s="33"/>
      <c r="E161" s="33"/>
      <c r="AA161">
        <f t="shared" si="36"/>
        <v>0</v>
      </c>
      <c r="AB161">
        <f t="shared" si="37"/>
        <v>0</v>
      </c>
      <c r="AC161">
        <f t="shared" si="38"/>
        <v>0</v>
      </c>
      <c r="AD161">
        <f t="shared" si="39"/>
        <v>0</v>
      </c>
    </row>
    <row r="162" spans="1:32" ht="22.2" thickTop="1" thickBot="1">
      <c r="A162" s="40"/>
      <c r="B162" s="64" t="s">
        <v>246</v>
      </c>
      <c r="C162" s="32"/>
      <c r="D162" s="33"/>
      <c r="E162" s="33"/>
      <c r="AA162">
        <f t="shared" si="36"/>
        <v>0</v>
      </c>
      <c r="AB162">
        <f t="shared" si="37"/>
        <v>0</v>
      </c>
      <c r="AC162">
        <f t="shared" si="38"/>
        <v>0</v>
      </c>
      <c r="AD162">
        <f t="shared" si="39"/>
        <v>0</v>
      </c>
    </row>
    <row r="163" spans="1:32" ht="37.200000000000003" thickTop="1" thickBot="1">
      <c r="A163" s="46" t="s">
        <v>247</v>
      </c>
      <c r="B163" s="38" t="s">
        <v>248</v>
      </c>
      <c r="C163" s="32"/>
      <c r="D163" s="33"/>
      <c r="E163" s="33"/>
      <c r="AA163">
        <f t="shared" si="36"/>
        <v>0</v>
      </c>
      <c r="AB163">
        <f t="shared" si="37"/>
        <v>0</v>
      </c>
      <c r="AC163">
        <f t="shared" si="38"/>
        <v>0</v>
      </c>
      <c r="AD163">
        <f t="shared" si="39"/>
        <v>0</v>
      </c>
    </row>
    <row r="164" spans="1:32" ht="37.200000000000003" thickTop="1" thickBot="1">
      <c r="A164" s="46" t="s">
        <v>249</v>
      </c>
      <c r="B164" s="38" t="s">
        <v>250</v>
      </c>
      <c r="C164" s="32"/>
      <c r="D164" s="33"/>
      <c r="E164" s="33"/>
      <c r="AA164">
        <f t="shared" si="36"/>
        <v>0</v>
      </c>
      <c r="AB164">
        <f t="shared" si="37"/>
        <v>0</v>
      </c>
      <c r="AC164">
        <f t="shared" si="38"/>
        <v>0</v>
      </c>
      <c r="AD164">
        <f t="shared" si="39"/>
        <v>0</v>
      </c>
    </row>
    <row r="165" spans="1:32" ht="37.200000000000003" thickTop="1" thickBot="1">
      <c r="A165" s="46" t="s">
        <v>251</v>
      </c>
      <c r="B165" s="38" t="s">
        <v>252</v>
      </c>
      <c r="C165" s="32"/>
      <c r="D165" s="33"/>
      <c r="E165" s="33"/>
      <c r="AA165">
        <f t="shared" si="36"/>
        <v>0</v>
      </c>
      <c r="AB165">
        <f t="shared" si="37"/>
        <v>0</v>
      </c>
      <c r="AC165">
        <f t="shared" si="38"/>
        <v>0</v>
      </c>
      <c r="AD165">
        <f t="shared" si="39"/>
        <v>0</v>
      </c>
    </row>
    <row r="166" spans="1:32" ht="18.600000000000001" thickTop="1" thickBot="1">
      <c r="A166" s="39" t="s">
        <v>253</v>
      </c>
      <c r="B166" s="47" t="s">
        <v>254</v>
      </c>
      <c r="C166" s="23" t="s">
        <v>88</v>
      </c>
      <c r="D166" s="24"/>
      <c r="E166" s="25" t="str">
        <f>"Quotation: "&amp;ROUND((AE166/AF166)*100,2)&amp;"%"</f>
        <v>Quotation: 0%</v>
      </c>
      <c r="AE166">
        <f>SUM(AA167:AA170)+SUM(AB167:AB170)*0.5</f>
        <v>0</v>
      </c>
      <c r="AF166">
        <f>COUNT(AA167:AA170)-SUM(AD167:AD170)</f>
        <v>4</v>
      </c>
    </row>
    <row r="167" spans="1:32" ht="91.2" thickTop="1" thickBot="1">
      <c r="A167" s="65" t="s">
        <v>255</v>
      </c>
      <c r="B167" s="66" t="s">
        <v>256</v>
      </c>
      <c r="C167" s="67"/>
      <c r="D167" s="67"/>
      <c r="E167" s="67"/>
      <c r="AA167">
        <f>IF(C167="Met",1,0)</f>
        <v>0</v>
      </c>
      <c r="AB167">
        <f>IF(C167="Partially Met",1,0)</f>
        <v>0</v>
      </c>
      <c r="AC167">
        <f>IF(C167="UnMet",1,0)</f>
        <v>0</v>
      </c>
      <c r="AD167">
        <f>IF(C167="Not Applicable",1,0)</f>
        <v>0</v>
      </c>
    </row>
    <row r="168" spans="1:32" ht="37.200000000000003" thickTop="1" thickBot="1">
      <c r="A168" s="63" t="s">
        <v>257</v>
      </c>
      <c r="B168" s="35" t="s">
        <v>258</v>
      </c>
      <c r="C168" s="68"/>
      <c r="D168" s="50"/>
      <c r="E168" s="50"/>
      <c r="AA168">
        <f>IF(C168="Met",1,0)</f>
        <v>0</v>
      </c>
      <c r="AB168">
        <f>IF(C168="Partially Met",1,0)</f>
        <v>0</v>
      </c>
      <c r="AC168">
        <f>IF(C168="UnMet",1,0)</f>
        <v>0</v>
      </c>
      <c r="AD168">
        <f>IF(C168="Not Applicable",1,0)</f>
        <v>0</v>
      </c>
    </row>
    <row r="169" spans="1:32" ht="55.2" thickTop="1" thickBot="1">
      <c r="A169" s="63" t="s">
        <v>259</v>
      </c>
      <c r="B169" s="35" t="s">
        <v>260</v>
      </c>
      <c r="C169" s="50"/>
      <c r="D169" s="50"/>
      <c r="E169" s="50"/>
      <c r="AA169">
        <f>IF(C169="Met",1,0)</f>
        <v>0</v>
      </c>
      <c r="AB169">
        <f>IF(C169="Partially Met",1,0)</f>
        <v>0</v>
      </c>
      <c r="AC169">
        <f>IF(C169="UnMet",1,0)</f>
        <v>0</v>
      </c>
      <c r="AD169">
        <f>IF(C169="Not Applicable",1,0)</f>
        <v>0</v>
      </c>
    </row>
    <row r="170" spans="1:32" ht="37.200000000000003" thickTop="1" thickBot="1">
      <c r="A170" s="63" t="s">
        <v>261</v>
      </c>
      <c r="B170" s="35" t="s">
        <v>262</v>
      </c>
      <c r="C170" s="50"/>
      <c r="D170" s="50"/>
      <c r="E170" s="50"/>
      <c r="AA170">
        <f>IF(C170="Met",1,0)</f>
        <v>0</v>
      </c>
      <c r="AB170">
        <f>IF(C170="Partially Met",1,0)</f>
        <v>0</v>
      </c>
      <c r="AC170">
        <f>IF(C170="UnMet",1,0)</f>
        <v>0</v>
      </c>
      <c r="AD170">
        <f>IF(C170="Not Applicable",1,0)</f>
        <v>0</v>
      </c>
    </row>
    <row r="171" spans="1:32" ht="70.8" thickTop="1" thickBot="1">
      <c r="A171" s="47" t="s">
        <v>263</v>
      </c>
      <c r="B171" s="22" t="s">
        <v>264</v>
      </c>
      <c r="C171" s="23" t="s">
        <v>173</v>
      </c>
      <c r="D171" s="24"/>
      <c r="E171" s="25" t="str">
        <f>"Quotation: "&amp;ROUND((AE171/AF171)*100,2)&amp;"%"</f>
        <v>Quotation: 0%</v>
      </c>
      <c r="AE171">
        <f>SUM(AA172:AA182)+SUM(AB172:AB182)*0.5</f>
        <v>0</v>
      </c>
      <c r="AF171">
        <f>COUNT(AA172:AA182)-SUM(AD172:AD182)</f>
        <v>11</v>
      </c>
    </row>
    <row r="172" spans="1:32" ht="37.200000000000003" thickTop="1" thickBot="1">
      <c r="A172" s="37" t="s">
        <v>265</v>
      </c>
      <c r="B172" s="38" t="s">
        <v>266</v>
      </c>
      <c r="C172" s="32"/>
      <c r="D172" s="33"/>
      <c r="E172" s="33"/>
      <c r="AA172">
        <f t="shared" ref="AA172:AA182" si="40">IF(C172="Met",1,0)</f>
        <v>0</v>
      </c>
      <c r="AB172">
        <f t="shared" ref="AB172:AB182" si="41">IF(C172="Partially Met",1,0)</f>
        <v>0</v>
      </c>
      <c r="AC172">
        <f t="shared" ref="AC172:AC182" si="42">IF(C172="UnMet",1,0)</f>
        <v>0</v>
      </c>
      <c r="AD172">
        <f t="shared" ref="AD172:AD182" si="43">IF(C172="Not Applicable",1,0)</f>
        <v>0</v>
      </c>
    </row>
    <row r="173" spans="1:32" ht="37.200000000000003" thickTop="1" thickBot="1">
      <c r="A173" s="37" t="s">
        <v>267</v>
      </c>
      <c r="B173" s="38" t="s">
        <v>268</v>
      </c>
      <c r="C173" s="32"/>
      <c r="D173" s="33"/>
      <c r="E173" s="33"/>
      <c r="AA173">
        <f t="shared" si="40"/>
        <v>0</v>
      </c>
      <c r="AB173">
        <f t="shared" si="41"/>
        <v>0</v>
      </c>
      <c r="AC173">
        <f t="shared" si="42"/>
        <v>0</v>
      </c>
      <c r="AD173">
        <f t="shared" si="43"/>
        <v>0</v>
      </c>
    </row>
    <row r="174" spans="1:32" ht="36.75" customHeight="1" thickTop="1" thickBot="1">
      <c r="A174" s="37" t="s">
        <v>269</v>
      </c>
      <c r="B174" s="38" t="s">
        <v>270</v>
      </c>
      <c r="C174" s="32"/>
      <c r="D174" s="33"/>
      <c r="E174" s="33"/>
      <c r="AA174">
        <f t="shared" si="40"/>
        <v>0</v>
      </c>
      <c r="AB174">
        <f t="shared" si="41"/>
        <v>0</v>
      </c>
      <c r="AC174">
        <f t="shared" si="42"/>
        <v>0</v>
      </c>
      <c r="AD174">
        <f t="shared" si="43"/>
        <v>0</v>
      </c>
    </row>
    <row r="175" spans="1:32" ht="55.2" thickTop="1" thickBot="1">
      <c r="A175" s="37" t="s">
        <v>271</v>
      </c>
      <c r="B175" s="38" t="s">
        <v>272</v>
      </c>
      <c r="C175" s="32"/>
      <c r="D175" s="33"/>
      <c r="E175" s="33"/>
      <c r="AA175">
        <f t="shared" si="40"/>
        <v>0</v>
      </c>
      <c r="AB175">
        <f t="shared" si="41"/>
        <v>0</v>
      </c>
      <c r="AC175">
        <f t="shared" si="42"/>
        <v>0</v>
      </c>
      <c r="AD175">
        <f t="shared" si="43"/>
        <v>0</v>
      </c>
    </row>
    <row r="176" spans="1:32" ht="37.200000000000003" thickTop="1" thickBot="1">
      <c r="A176" s="37" t="s">
        <v>273</v>
      </c>
      <c r="B176" s="38" t="s">
        <v>274</v>
      </c>
      <c r="C176" s="32"/>
      <c r="D176" s="33"/>
      <c r="E176" s="33"/>
      <c r="AA176">
        <f t="shared" si="40"/>
        <v>0</v>
      </c>
      <c r="AB176">
        <f t="shared" si="41"/>
        <v>0</v>
      </c>
      <c r="AC176">
        <f t="shared" si="42"/>
        <v>0</v>
      </c>
      <c r="AD176">
        <f t="shared" si="43"/>
        <v>0</v>
      </c>
    </row>
    <row r="177" spans="1:32" ht="22.2" thickTop="1" thickBot="1">
      <c r="A177" s="37" t="s">
        <v>275</v>
      </c>
      <c r="B177" s="38" t="s">
        <v>276</v>
      </c>
      <c r="C177" s="32"/>
      <c r="D177" s="33"/>
      <c r="E177" s="33"/>
      <c r="AA177">
        <f t="shared" si="40"/>
        <v>0</v>
      </c>
      <c r="AB177">
        <f t="shared" si="41"/>
        <v>0</v>
      </c>
      <c r="AC177">
        <f t="shared" si="42"/>
        <v>0</v>
      </c>
      <c r="AD177">
        <f t="shared" si="43"/>
        <v>0</v>
      </c>
    </row>
    <row r="178" spans="1:32" ht="43.5" customHeight="1" thickTop="1" thickBot="1">
      <c r="A178" s="37" t="s">
        <v>277</v>
      </c>
      <c r="B178" s="38" t="s">
        <v>278</v>
      </c>
      <c r="C178" s="32"/>
      <c r="D178" s="33"/>
      <c r="E178" s="33"/>
      <c r="AA178">
        <f t="shared" si="40"/>
        <v>0</v>
      </c>
      <c r="AB178">
        <f t="shared" si="41"/>
        <v>0</v>
      </c>
      <c r="AC178">
        <f t="shared" si="42"/>
        <v>0</v>
      </c>
      <c r="AD178">
        <f t="shared" si="43"/>
        <v>0</v>
      </c>
    </row>
    <row r="179" spans="1:32" ht="37.200000000000003" thickTop="1" thickBot="1">
      <c r="A179" s="37" t="s">
        <v>279</v>
      </c>
      <c r="B179" s="38" t="s">
        <v>280</v>
      </c>
      <c r="C179" s="32"/>
      <c r="D179" s="33"/>
      <c r="E179" s="33"/>
      <c r="AA179">
        <f t="shared" si="40"/>
        <v>0</v>
      </c>
      <c r="AB179">
        <f t="shared" si="41"/>
        <v>0</v>
      </c>
      <c r="AC179">
        <f t="shared" si="42"/>
        <v>0</v>
      </c>
      <c r="AD179">
        <f t="shared" si="43"/>
        <v>0</v>
      </c>
    </row>
    <row r="180" spans="1:32" ht="37.200000000000003" thickTop="1" thickBot="1">
      <c r="A180" s="37" t="s">
        <v>281</v>
      </c>
      <c r="B180" s="38" t="s">
        <v>282</v>
      </c>
      <c r="C180" s="32"/>
      <c r="D180" s="33"/>
      <c r="E180" s="33"/>
      <c r="AA180">
        <f t="shared" si="40"/>
        <v>0</v>
      </c>
      <c r="AB180">
        <f t="shared" si="41"/>
        <v>0</v>
      </c>
      <c r="AC180">
        <f t="shared" si="42"/>
        <v>0</v>
      </c>
      <c r="AD180">
        <f t="shared" si="43"/>
        <v>0</v>
      </c>
    </row>
    <row r="181" spans="1:32" ht="37.200000000000003" thickTop="1" thickBot="1">
      <c r="A181" s="37" t="s">
        <v>283</v>
      </c>
      <c r="B181" s="38" t="s">
        <v>284</v>
      </c>
      <c r="C181" s="32"/>
      <c r="D181" s="33"/>
      <c r="E181" s="33"/>
      <c r="AA181">
        <f t="shared" si="40"/>
        <v>0</v>
      </c>
      <c r="AB181">
        <f t="shared" si="41"/>
        <v>0</v>
      </c>
      <c r="AC181">
        <f t="shared" si="42"/>
        <v>0</v>
      </c>
      <c r="AD181">
        <f t="shared" si="43"/>
        <v>0</v>
      </c>
    </row>
    <row r="182" spans="1:32" ht="37.200000000000003" thickTop="1" thickBot="1">
      <c r="A182" s="37" t="s">
        <v>285</v>
      </c>
      <c r="B182" s="38" t="s">
        <v>286</v>
      </c>
      <c r="C182" s="32"/>
      <c r="D182" s="33"/>
      <c r="E182" s="33"/>
      <c r="AA182">
        <f t="shared" si="40"/>
        <v>0</v>
      </c>
      <c r="AB182">
        <f t="shared" si="41"/>
        <v>0</v>
      </c>
      <c r="AC182">
        <f t="shared" si="42"/>
        <v>0</v>
      </c>
      <c r="AD182">
        <f t="shared" si="43"/>
        <v>0</v>
      </c>
    </row>
    <row r="183" spans="1:32" ht="18.600000000000001" thickTop="1" thickBot="1">
      <c r="A183" s="47" t="s">
        <v>287</v>
      </c>
      <c r="B183" s="22" t="s">
        <v>288</v>
      </c>
      <c r="C183" s="23" t="s">
        <v>289</v>
      </c>
      <c r="D183" s="24"/>
      <c r="E183" s="25" t="str">
        <f>"Quotation: "&amp;ROUND((AE183/AF183)*100,2)&amp;"%"</f>
        <v>Quotation: 0%</v>
      </c>
      <c r="AE183">
        <f>SUM(AA184:AA189)+SUM(AB184:AB189)*0.5</f>
        <v>0</v>
      </c>
      <c r="AF183">
        <f>COUNT(AA184:AA189)-SUM(AD184:AD189)</f>
        <v>6</v>
      </c>
    </row>
    <row r="184" spans="1:32" ht="29.25" customHeight="1" thickTop="1" thickBot="1">
      <c r="A184" s="37" t="s">
        <v>290</v>
      </c>
      <c r="B184" s="38" t="s">
        <v>291</v>
      </c>
      <c r="C184" s="32"/>
      <c r="D184" s="33"/>
      <c r="E184" s="33"/>
      <c r="AA184">
        <f t="shared" ref="AA184:AA189" si="44">IF(C184="Met",1,0)</f>
        <v>0</v>
      </c>
      <c r="AB184">
        <f t="shared" ref="AB184:AB189" si="45">IF(C184="Partially Met",1,0)</f>
        <v>0</v>
      </c>
      <c r="AC184">
        <f t="shared" ref="AC184:AC189" si="46">IF(C184="UnMet",1,0)</f>
        <v>0</v>
      </c>
      <c r="AD184">
        <f t="shared" ref="AD184:AD189" si="47">IF(C184="Not Applicable",1,0)</f>
        <v>0</v>
      </c>
    </row>
    <row r="185" spans="1:32" ht="52.5" customHeight="1" thickTop="1" thickBot="1">
      <c r="A185" s="37" t="s">
        <v>292</v>
      </c>
      <c r="B185" s="38" t="s">
        <v>293</v>
      </c>
      <c r="C185" s="32"/>
      <c r="D185" s="33"/>
      <c r="E185" s="33"/>
      <c r="AA185">
        <f t="shared" si="44"/>
        <v>0</v>
      </c>
      <c r="AB185">
        <f t="shared" si="45"/>
        <v>0</v>
      </c>
      <c r="AC185">
        <f t="shared" si="46"/>
        <v>0</v>
      </c>
      <c r="AD185">
        <f t="shared" si="47"/>
        <v>0</v>
      </c>
    </row>
    <row r="186" spans="1:32" ht="22.2" thickTop="1" thickBot="1">
      <c r="A186" s="37" t="s">
        <v>294</v>
      </c>
      <c r="B186" s="38" t="s">
        <v>295</v>
      </c>
      <c r="C186" s="32"/>
      <c r="D186" s="33"/>
      <c r="E186" s="33"/>
      <c r="AA186">
        <f t="shared" si="44"/>
        <v>0</v>
      </c>
      <c r="AB186">
        <f t="shared" si="45"/>
        <v>0</v>
      </c>
      <c r="AC186">
        <f t="shared" si="46"/>
        <v>0</v>
      </c>
      <c r="AD186">
        <f t="shared" si="47"/>
        <v>0</v>
      </c>
    </row>
    <row r="187" spans="1:32" ht="33.75" customHeight="1" thickTop="1" thickBot="1">
      <c r="A187" s="37" t="s">
        <v>296</v>
      </c>
      <c r="B187" s="38" t="s">
        <v>297</v>
      </c>
      <c r="C187" s="32"/>
      <c r="D187" s="33"/>
      <c r="E187" s="33"/>
      <c r="AA187">
        <f t="shared" si="44"/>
        <v>0</v>
      </c>
      <c r="AB187">
        <f t="shared" si="45"/>
        <v>0</v>
      </c>
      <c r="AC187">
        <f t="shared" si="46"/>
        <v>0</v>
      </c>
      <c r="AD187">
        <f t="shared" si="47"/>
        <v>0</v>
      </c>
    </row>
    <row r="188" spans="1:32" ht="37.200000000000003" thickTop="1" thickBot="1">
      <c r="A188" s="37" t="s">
        <v>298</v>
      </c>
      <c r="B188" s="38" t="s">
        <v>299</v>
      </c>
      <c r="C188" s="69"/>
      <c r="D188" s="33"/>
      <c r="E188" s="33"/>
      <c r="AA188">
        <f t="shared" si="44"/>
        <v>0</v>
      </c>
      <c r="AB188">
        <f t="shared" si="45"/>
        <v>0</v>
      </c>
      <c r="AC188">
        <f t="shared" si="46"/>
        <v>0</v>
      </c>
      <c r="AD188">
        <f t="shared" si="47"/>
        <v>0</v>
      </c>
    </row>
    <row r="189" spans="1:32" ht="55.2" thickTop="1" thickBot="1">
      <c r="A189" s="37" t="s">
        <v>300</v>
      </c>
      <c r="B189" s="38" t="s">
        <v>301</v>
      </c>
      <c r="C189" s="70"/>
      <c r="D189" s="70"/>
      <c r="E189" s="70"/>
      <c r="AA189">
        <f t="shared" si="44"/>
        <v>0</v>
      </c>
      <c r="AB189">
        <f t="shared" si="45"/>
        <v>0</v>
      </c>
      <c r="AC189">
        <f t="shared" si="46"/>
        <v>0</v>
      </c>
      <c r="AD189">
        <f t="shared" si="47"/>
        <v>0</v>
      </c>
    </row>
  </sheetData>
  <sheetProtection algorithmName="SHA-512" hashValue="UKbQsLgAN24CeHvmYxAVnkWG7PoaYUiHdBMt3gQ8AC39WNMoq2Jzn/IOWs8RBrDets/mN76MD3+kSczB79LO2w==" saltValue="v1O9mqljCJRq+r4UW3efyQ==" spinCount="100000" sheet="1" objects="1" scenarios="1"/>
  <mergeCells count="36">
    <mergeCell ref="C154:D154"/>
    <mergeCell ref="A156:A162"/>
    <mergeCell ref="C156:E156"/>
    <mergeCell ref="C166:D166"/>
    <mergeCell ref="C171:D171"/>
    <mergeCell ref="C183:D183"/>
    <mergeCell ref="A115:A126"/>
    <mergeCell ref="C115:E115"/>
    <mergeCell ref="C129:D129"/>
    <mergeCell ref="A131:A140"/>
    <mergeCell ref="C131:E131"/>
    <mergeCell ref="C146:D146"/>
    <mergeCell ref="C79:D79"/>
    <mergeCell ref="A80:A95"/>
    <mergeCell ref="C80:E80"/>
    <mergeCell ref="C99:D99"/>
    <mergeCell ref="C108:D108"/>
    <mergeCell ref="C114:D114"/>
    <mergeCell ref="A48:A59"/>
    <mergeCell ref="C48:E48"/>
    <mergeCell ref="A61:A64"/>
    <mergeCell ref="C61:E61"/>
    <mergeCell ref="C65:D65"/>
    <mergeCell ref="C70:D70"/>
    <mergeCell ref="A8:A24"/>
    <mergeCell ref="C8:E8"/>
    <mergeCell ref="C27:D27"/>
    <mergeCell ref="A28:A41"/>
    <mergeCell ref="C28:E28"/>
    <mergeCell ref="C45:D45"/>
    <mergeCell ref="A1:E1"/>
    <mergeCell ref="A2:E2"/>
    <mergeCell ref="A3:E3"/>
    <mergeCell ref="C4:E4"/>
    <mergeCell ref="A6:E6"/>
    <mergeCell ref="C7:D7"/>
  </mergeCells>
  <dataValidations count="2">
    <dataValidation type="list" showInputMessage="1" showErrorMessage="1" sqref="C71:C78">
      <formula1>"Met,UnMet,Not Applicable"</formula1>
    </dataValidation>
    <dataValidation type="list" showInputMessage="1" showErrorMessage="1" sqref="C9:C26 C29:C44 C46:C47 C49:C60 C62:C64 C66:C69 C81:C98 C100:C107 C109:C113 C116:C128 C130 C132:C145 C147:C153 C155 C157:C165 C167:C170 C172:C182 C184:C189">
      <formula1>"Met,Partially Met,UnMet,Not Applicable"</formula1>
    </dataValidation>
  </dataValidations>
  <pageMargins left="0.70866141732283505" right="0.70866141732283505" top="0.74803149606299202" bottom="0.74803149606299202" header="0.31496062992126" footer="0.31496062992126"/>
  <pageSetup paperSize="9" scale="39" orientation="landscape"/>
  <rowBreaks count="7" manualBreakCount="7">
    <brk id="26" max="5" man="1"/>
    <brk id="64" max="5" man="1"/>
    <brk id="78" max="5" man="1"/>
    <brk id="98" max="5" man="1"/>
    <brk id="128" max="5" man="1"/>
    <brk id="153" max="5" man="1"/>
    <brk id="170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SMCS6</vt:lpstr>
      <vt:lpstr>SMCS6!Print_Area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Musa</dc:creator>
  <cp:lastModifiedBy>Ashraf Musa</cp:lastModifiedBy>
  <dcterms:created xsi:type="dcterms:W3CDTF">2025-08-22T13:37:53Z</dcterms:created>
  <dcterms:modified xsi:type="dcterms:W3CDTF">2025-08-22T13:37:54Z</dcterms:modified>
</cp:coreProperties>
</file>