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SAMEH\Downloads\"/>
    </mc:Choice>
  </mc:AlternateContent>
  <bookViews>
    <workbookView xWindow="0" yWindow="0" windowWidth="23040" windowHeight="8784"/>
  </bookViews>
  <sheets>
    <sheet name="SMCS9" sheetId="1" r:id="rId1"/>
  </sheets>
  <definedNames>
    <definedName name="_Toc45702522" localSheetId="0">SMCS9!$B$7</definedName>
    <definedName name="_Toc87295158" localSheetId="0">SMCS9!$A$6</definedName>
    <definedName name="_Toc87295159" localSheetId="0">SMCS9!#REF!</definedName>
    <definedName name="_xlnm.Print_Area" localSheetId="0">SMCS9!$A$1:$F$83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D82" i="1" l="1"/>
  <c r="AC82" i="1"/>
  <c r="AB82" i="1"/>
  <c r="AA82" i="1"/>
  <c r="AD81" i="1"/>
  <c r="AC81" i="1"/>
  <c r="AB81" i="1"/>
  <c r="AA81" i="1"/>
  <c r="AD80" i="1"/>
  <c r="AC80" i="1"/>
  <c r="AB80" i="1"/>
  <c r="AA80" i="1"/>
  <c r="AD79" i="1"/>
  <c r="AC79" i="1"/>
  <c r="AB79" i="1"/>
  <c r="AA79" i="1"/>
  <c r="AD78" i="1"/>
  <c r="AC78" i="1"/>
  <c r="AB78" i="1"/>
  <c r="AA78" i="1"/>
  <c r="AD77" i="1"/>
  <c r="AC77" i="1"/>
  <c r="AB77" i="1"/>
  <c r="AA77" i="1"/>
  <c r="AD76" i="1"/>
  <c r="AC76" i="1"/>
  <c r="AB76" i="1"/>
  <c r="AA76" i="1"/>
  <c r="AD75" i="1"/>
  <c r="AC75" i="1"/>
  <c r="AB75" i="1"/>
  <c r="AA75" i="1"/>
  <c r="AF73" i="1" s="1"/>
  <c r="AD74" i="1"/>
  <c r="AC74" i="1"/>
  <c r="AB74" i="1"/>
  <c r="AA74" i="1"/>
  <c r="AD72" i="1"/>
  <c r="AC72" i="1"/>
  <c r="AB72" i="1"/>
  <c r="AA72" i="1"/>
  <c r="AD71" i="1"/>
  <c r="AC71" i="1"/>
  <c r="AB71" i="1"/>
  <c r="AA71" i="1"/>
  <c r="AD70" i="1"/>
  <c r="AC70" i="1"/>
  <c r="AB70" i="1"/>
  <c r="AA70" i="1"/>
  <c r="AD69" i="1"/>
  <c r="AC69" i="1"/>
  <c r="AB69" i="1"/>
  <c r="AA69" i="1"/>
  <c r="AD68" i="1"/>
  <c r="AC68" i="1"/>
  <c r="AB68" i="1"/>
  <c r="AA68" i="1"/>
  <c r="AD67" i="1"/>
  <c r="AC67" i="1"/>
  <c r="AB67" i="1"/>
  <c r="AA67" i="1"/>
  <c r="AD66" i="1"/>
  <c r="AC66" i="1"/>
  <c r="AB66" i="1"/>
  <c r="AA66" i="1"/>
  <c r="AD65" i="1"/>
  <c r="AC65" i="1"/>
  <c r="AB65" i="1"/>
  <c r="AA65" i="1"/>
  <c r="AD64" i="1"/>
  <c r="AC64" i="1"/>
  <c r="AB64" i="1"/>
  <c r="AA64" i="1"/>
  <c r="AD63" i="1"/>
  <c r="AC63" i="1"/>
  <c r="AB63" i="1"/>
  <c r="AA63" i="1"/>
  <c r="AD62" i="1"/>
  <c r="AC62" i="1"/>
  <c r="AB62" i="1"/>
  <c r="AA62" i="1"/>
  <c r="AD61" i="1"/>
  <c r="AC61" i="1"/>
  <c r="AB61" i="1"/>
  <c r="AA61" i="1"/>
  <c r="AD60" i="1"/>
  <c r="AC60" i="1"/>
  <c r="AB60" i="1"/>
  <c r="AA60" i="1"/>
  <c r="AD59" i="1"/>
  <c r="AC59" i="1"/>
  <c r="AB59" i="1"/>
  <c r="AA59" i="1"/>
  <c r="AF56" i="1" s="1"/>
  <c r="AD57" i="1"/>
  <c r="AC57" i="1"/>
  <c r="AB57" i="1"/>
  <c r="AA57" i="1"/>
  <c r="AD55" i="1"/>
  <c r="AC55" i="1"/>
  <c r="AB55" i="1"/>
  <c r="AA55" i="1"/>
  <c r="AD54" i="1"/>
  <c r="AC54" i="1"/>
  <c r="AB54" i="1"/>
  <c r="AA54" i="1"/>
  <c r="AD53" i="1"/>
  <c r="AC53" i="1"/>
  <c r="AB53" i="1"/>
  <c r="AA53" i="1"/>
  <c r="AD52" i="1"/>
  <c r="AC52" i="1"/>
  <c r="AB52" i="1"/>
  <c r="AA52" i="1"/>
  <c r="AD51" i="1"/>
  <c r="AC51" i="1"/>
  <c r="AB51" i="1"/>
  <c r="AA51" i="1"/>
  <c r="AD50" i="1"/>
  <c r="AC50" i="1"/>
  <c r="AB50" i="1"/>
  <c r="AA50" i="1"/>
  <c r="AD49" i="1"/>
  <c r="AC49" i="1"/>
  <c r="AB49" i="1"/>
  <c r="AA49" i="1"/>
  <c r="AD48" i="1"/>
  <c r="AC48" i="1"/>
  <c r="AB48" i="1"/>
  <c r="AA48" i="1"/>
  <c r="AF46" i="1" s="1"/>
  <c r="AD47" i="1"/>
  <c r="AC47" i="1"/>
  <c r="AB47" i="1"/>
  <c r="AA47" i="1"/>
  <c r="AD45" i="1"/>
  <c r="AC45" i="1"/>
  <c r="AB45" i="1"/>
  <c r="AA45" i="1"/>
  <c r="AD44" i="1"/>
  <c r="AC44" i="1"/>
  <c r="AB44" i="1"/>
  <c r="AA44" i="1"/>
  <c r="AD43" i="1"/>
  <c r="AC43" i="1"/>
  <c r="AB43" i="1"/>
  <c r="AA43" i="1"/>
  <c r="AD42" i="1"/>
  <c r="AC42" i="1"/>
  <c r="AB42" i="1"/>
  <c r="AA42" i="1"/>
  <c r="AD41" i="1"/>
  <c r="AC41" i="1"/>
  <c r="AB41" i="1"/>
  <c r="AA41" i="1"/>
  <c r="AD40" i="1"/>
  <c r="AC40" i="1"/>
  <c r="AB40" i="1"/>
  <c r="AA40" i="1"/>
  <c r="AD39" i="1"/>
  <c r="AC39" i="1"/>
  <c r="AB39" i="1"/>
  <c r="AA39" i="1"/>
  <c r="AD38" i="1"/>
  <c r="AC38" i="1"/>
  <c r="AB38" i="1"/>
  <c r="AA38" i="1"/>
  <c r="AD37" i="1"/>
  <c r="AC37" i="1"/>
  <c r="AB37" i="1"/>
  <c r="AA37" i="1"/>
  <c r="AD36" i="1"/>
  <c r="AC36" i="1"/>
  <c r="AB36" i="1"/>
  <c r="AA36" i="1"/>
  <c r="AD35" i="1"/>
  <c r="AC35" i="1"/>
  <c r="AB35" i="1"/>
  <c r="AA35" i="1"/>
  <c r="AD34" i="1"/>
  <c r="AC34" i="1"/>
  <c r="AB34" i="1"/>
  <c r="AA34" i="1"/>
  <c r="AF31" i="1" s="1"/>
  <c r="AD33" i="1"/>
  <c r="AC33" i="1"/>
  <c r="AB33" i="1"/>
  <c r="AA33" i="1"/>
  <c r="AD30" i="1"/>
  <c r="AC30" i="1"/>
  <c r="AB30" i="1"/>
  <c r="AA30" i="1"/>
  <c r="AD29" i="1"/>
  <c r="AC29" i="1"/>
  <c r="AB29" i="1"/>
  <c r="AA29" i="1"/>
  <c r="AD28" i="1"/>
  <c r="AC28" i="1"/>
  <c r="AB28" i="1"/>
  <c r="AA28" i="1"/>
  <c r="AD27" i="1"/>
  <c r="AC27" i="1"/>
  <c r="AB27" i="1"/>
  <c r="AA27" i="1"/>
  <c r="AD26" i="1"/>
  <c r="AC26" i="1"/>
  <c r="AB26" i="1"/>
  <c r="AA26" i="1"/>
  <c r="AD25" i="1"/>
  <c r="AC25" i="1"/>
  <c r="AB25" i="1"/>
  <c r="AA25" i="1"/>
  <c r="AD24" i="1"/>
  <c r="AC24" i="1"/>
  <c r="AB24" i="1"/>
  <c r="AA24" i="1"/>
  <c r="AD23" i="1"/>
  <c r="AC23" i="1"/>
  <c r="AB23" i="1"/>
  <c r="AA23" i="1"/>
  <c r="AD22" i="1"/>
  <c r="AC22" i="1"/>
  <c r="AB22" i="1"/>
  <c r="AA22" i="1"/>
  <c r="AF19" i="1" s="1"/>
  <c r="AD21" i="1"/>
  <c r="AC21" i="1"/>
  <c r="AB21" i="1"/>
  <c r="AA21" i="1"/>
  <c r="AD18" i="1"/>
  <c r="AC18" i="1"/>
  <c r="AB18" i="1"/>
  <c r="AA18" i="1"/>
  <c r="AD17" i="1"/>
  <c r="AC17" i="1"/>
  <c r="AB17" i="1"/>
  <c r="AA17" i="1"/>
  <c r="AD16" i="1"/>
  <c r="AC16" i="1"/>
  <c r="AB16" i="1"/>
  <c r="AA16" i="1"/>
  <c r="AD15" i="1"/>
  <c r="AC15" i="1"/>
  <c r="AB15" i="1"/>
  <c r="AA15" i="1"/>
  <c r="AD14" i="1"/>
  <c r="AC14" i="1"/>
  <c r="AB14" i="1"/>
  <c r="AA14" i="1"/>
  <c r="AD13" i="1"/>
  <c r="AC13" i="1"/>
  <c r="AB13" i="1"/>
  <c r="AA13" i="1"/>
  <c r="AF11" i="1" s="1"/>
  <c r="AD12" i="1"/>
  <c r="AC12" i="1"/>
  <c r="AB12" i="1"/>
  <c r="AA12" i="1"/>
  <c r="AD10" i="1"/>
  <c r="AC10" i="1"/>
  <c r="AB10" i="1"/>
  <c r="AA10" i="1"/>
  <c r="AD9" i="1"/>
  <c r="AC9" i="1"/>
  <c r="AB9" i="1"/>
  <c r="AA9" i="1"/>
  <c r="AF7" i="1" s="1"/>
  <c r="AD8" i="1"/>
  <c r="AC8" i="1"/>
  <c r="AB8" i="1"/>
  <c r="AA8" i="1"/>
  <c r="AA4" i="1" l="1"/>
  <c r="C4" i="1" s="1"/>
  <c r="AB4" i="1"/>
  <c r="AE19" i="1"/>
  <c r="E19" i="1" s="1"/>
  <c r="AE73" i="1"/>
  <c r="E73" i="1" s="1"/>
  <c r="AE11" i="1"/>
  <c r="E11" i="1" s="1"/>
  <c r="AE56" i="1"/>
  <c r="E56" i="1" s="1"/>
  <c r="AE7" i="1"/>
  <c r="E7" i="1" s="1"/>
  <c r="AE46" i="1"/>
  <c r="E46" i="1" s="1"/>
  <c r="AE31" i="1"/>
  <c r="E31" i="1" s="1"/>
</calcChain>
</file>

<file path=xl/sharedStrings.xml><?xml version="1.0" encoding="utf-8"?>
<sst xmlns="http://schemas.openxmlformats.org/spreadsheetml/2006/main" count="143" uniqueCount="141">
  <si>
    <t xml:space="preserve"> Quality Assurance Center </t>
  </si>
  <si>
    <t xml:space="preserve">Oman Healthcare Accrediation System </t>
  </si>
  <si>
    <t xml:space="preserve">Self Assessment Tool (SAT) </t>
  </si>
  <si>
    <t>Chapter 4</t>
  </si>
  <si>
    <t>Specialized Medical Care Services (SMCS)</t>
  </si>
  <si>
    <t>Conformity Level</t>
  </si>
  <si>
    <t xml:space="preserve">Evidence </t>
  </si>
  <si>
    <t xml:space="preserve">Comments </t>
  </si>
  <si>
    <t>Neonatal Intensive Care Unit (NICU)</t>
  </si>
  <si>
    <t>SMCS.91</t>
  </si>
  <si>
    <t xml:space="preserve">A senior qualified physician (Neonatologist/pediatrician) is assigned to manage the Neonatal Intensive Care Unit (NICU). </t>
  </si>
  <si>
    <t>Total Measures: 3</t>
  </si>
  <si>
    <t>SMCS.91.a</t>
  </si>
  <si>
    <r>
      <rPr>
        <sz val="16"/>
        <color theme="1"/>
        <rFont val="Times New Roman"/>
        <charset val="134"/>
      </rPr>
      <t xml:space="preserve">A consultant neonatologist/pediatrician is assigned to lead the </t>
    </r>
    <r>
      <rPr>
        <b/>
        <sz val="16"/>
        <color theme="1"/>
        <rFont val="Times New Roman"/>
        <charset val="134"/>
      </rPr>
      <t>NICU</t>
    </r>
    <r>
      <rPr>
        <sz val="16"/>
        <color theme="1"/>
        <rFont val="Times New Roman"/>
        <charset val="134"/>
      </rPr>
      <t>, who is qualified by education, experience and training.</t>
    </r>
  </si>
  <si>
    <t>SMCS.91.b</t>
  </si>
  <si>
    <t xml:space="preserve">The unit leader takes the responsibility for the management overall care of the unit. </t>
  </si>
  <si>
    <t>SMCS.91.c</t>
  </si>
  <si>
    <t>The hospital ensures that senior competent staff (neonatologist/pediatrician) is on call all times to be approached for any concerns related to the NICU.</t>
  </si>
  <si>
    <t>SMCS.92</t>
  </si>
  <si>
    <t xml:space="preserve">The NICU has well trained, qualified, and competent medical, nursing staff, and supportive staff. </t>
  </si>
  <si>
    <t>Total Measures: 7</t>
  </si>
  <si>
    <t>SMCS.92.a</t>
  </si>
  <si>
    <t xml:space="preserve">The NICU is covered by a registered qualified pediatrician/ Neonatal intensive care physician twenty-four hours a day, seven days a week (24hrs/7days). </t>
  </si>
  <si>
    <t>SMCS.92.b</t>
  </si>
  <si>
    <t>The NICU nurse manager is qualified by education, experience in the intensive care.</t>
  </si>
  <si>
    <t>SMCS.92.c</t>
  </si>
  <si>
    <t>The unit bedside nurses are qualified and experienced in managing neonatal intensive care babies.</t>
  </si>
  <si>
    <t>SMCS.92.d</t>
  </si>
  <si>
    <r>
      <rPr>
        <sz val="16"/>
        <color theme="1"/>
        <rFont val="Times New Roman"/>
        <charset val="134"/>
      </rPr>
      <t xml:space="preserve">Medical and nursing staff working in the </t>
    </r>
    <r>
      <rPr>
        <b/>
        <sz val="16"/>
        <color theme="1"/>
        <rFont val="Times New Roman"/>
        <charset val="134"/>
      </rPr>
      <t>NICU</t>
    </r>
    <r>
      <rPr>
        <sz val="16"/>
        <color theme="1"/>
        <rFont val="Times New Roman"/>
        <charset val="134"/>
      </rPr>
      <t xml:space="preserve"> unit are certified in Pediatric Cardiac Life Support (PCLS), and neonatal resuscitation program (NRP). </t>
    </r>
  </si>
  <si>
    <t>SMCS.92.e</t>
  </si>
  <si>
    <t>The unit ensures the availability of multidisciplinary services with skilled and trained staff in different areas such clinical dietitians, occupational therapists, physiotherapists, speech and language therapists, respiratory therapist, and pharmacists.</t>
  </si>
  <si>
    <t>The hospital ensures that NICU monitors and maintains an appropriate number of staff of all levels.</t>
  </si>
  <si>
    <t>SMCS.92.f</t>
  </si>
  <si>
    <t>NICU leadership monitors competency levels of the staff (doctors, nurses and respiratory therapists), using competency checklist for each team.</t>
  </si>
  <si>
    <t>SMCS.93</t>
  </si>
  <si>
    <t xml:space="preserve">The Neonatal ICU has evidence-based clinical policies, procedures, and guidelines to guide the provision of care for new-born.  </t>
  </si>
  <si>
    <t>Total Measures: 10</t>
  </si>
  <si>
    <t>SMCS.93.a</t>
  </si>
  <si>
    <t xml:space="preserve">The unit has current/updated written policies and procedure, written by qualified NICU team, and approved by head of department.  These policies and procedures include but are not limited tothe following: </t>
  </si>
  <si>
    <r>
      <rPr>
        <sz val="16"/>
        <rFont val="Symbol"/>
        <charset val="2"/>
      </rPr>
      <t>·</t>
    </r>
    <r>
      <rPr>
        <sz val="16"/>
        <rFont val="Times New Roman"/>
        <charset val="134"/>
      </rPr>
      <t>      Criteria and process of admission and discharge of new-born in the NICU.</t>
    </r>
  </si>
  <si>
    <r>
      <rPr>
        <sz val="16"/>
        <rFont val="Symbol"/>
        <charset val="2"/>
      </rPr>
      <t>·</t>
    </r>
    <r>
      <rPr>
        <sz val="16"/>
        <rFont val="Times New Roman"/>
        <charset val="134"/>
      </rPr>
      <t>      Conduction of assessment, and frequency of reassessment of newborn</t>
    </r>
  </si>
  <si>
    <r>
      <rPr>
        <sz val="16"/>
        <rFont val="Symbol"/>
        <charset val="2"/>
      </rPr>
      <t>·</t>
    </r>
    <r>
      <rPr>
        <sz val="16"/>
        <rFont val="Times New Roman"/>
        <charset val="134"/>
      </rPr>
      <t>      Monitoring newborns vital signs, circulation, respiration and circulation</t>
    </r>
  </si>
  <si>
    <r>
      <rPr>
        <sz val="16"/>
        <rFont val="Symbol"/>
        <charset val="2"/>
      </rPr>
      <t>·</t>
    </r>
    <r>
      <rPr>
        <sz val="16"/>
        <rFont val="Times New Roman"/>
        <charset val="134"/>
      </rPr>
      <t>      Clinical handover between staff during transition time and points.</t>
    </r>
  </si>
  <si>
    <r>
      <rPr>
        <sz val="16"/>
        <rFont val="Symbol"/>
        <charset val="2"/>
      </rPr>
      <t>·</t>
    </r>
    <r>
      <rPr>
        <sz val="16"/>
        <rFont val="Times New Roman"/>
        <charset val="134"/>
      </rPr>
      <t xml:space="preserve">      Infection control practice </t>
    </r>
  </si>
  <si>
    <r>
      <rPr>
        <sz val="16"/>
        <rFont val="Symbol"/>
        <charset val="2"/>
      </rPr>
      <t>·</t>
    </r>
    <r>
      <rPr>
        <sz val="16"/>
        <rFont val="Times New Roman"/>
        <charset val="134"/>
      </rPr>
      <t xml:space="preserve">      Nutritional supplement enteral, and parenteral (TPN). </t>
    </r>
  </si>
  <si>
    <r>
      <rPr>
        <sz val="16"/>
        <rFont val="Symbol"/>
        <charset val="2"/>
      </rPr>
      <t>·</t>
    </r>
    <r>
      <rPr>
        <sz val="16"/>
        <rFont val="Times New Roman"/>
        <charset val="134"/>
      </rPr>
      <t>      Guidelines on safe perinatal transfer of high-risk newborns</t>
    </r>
  </si>
  <si>
    <t>SMCS.93.b</t>
  </si>
  <si>
    <t xml:space="preserve">The NICU has current evidence based clinical guidelines to deal with and manage different and specific conditions.   </t>
  </si>
  <si>
    <t>SMCS.93.c</t>
  </si>
  <si>
    <t xml:space="preserve">All unit staff are oriented and trained on the guidelines and polices. </t>
  </si>
  <si>
    <t>SMCS.93.d</t>
  </si>
  <si>
    <t>Unit leadership conducts audits, reviews, and updates the guidelines regularly.</t>
  </si>
  <si>
    <t>SMCS.94</t>
  </si>
  <si>
    <t xml:space="preserve">The NICU has adequate supplies equipment, and structure to run critical care service for new-born. </t>
  </si>
  <si>
    <t>Total Measures: 13</t>
  </si>
  <si>
    <t>SMCS.94.a</t>
  </si>
  <si>
    <t>The NICU has the following equipment are available and accessible  including</t>
  </si>
  <si>
    <r>
      <rPr>
        <sz val="16"/>
        <rFont val="Symbol"/>
        <charset val="2"/>
      </rPr>
      <t>·</t>
    </r>
    <r>
      <rPr>
        <sz val="16"/>
        <rFont val="Times New Roman"/>
        <charset val="134"/>
      </rPr>
      <t xml:space="preserve">      Ventilators </t>
    </r>
  </si>
  <si>
    <r>
      <rPr>
        <sz val="16"/>
        <rFont val="Symbol"/>
        <charset val="2"/>
      </rPr>
      <t>·</t>
    </r>
    <r>
      <rPr>
        <sz val="16"/>
        <rFont val="Times New Roman"/>
        <charset val="134"/>
      </rPr>
      <t>      Incubators</t>
    </r>
  </si>
  <si>
    <r>
      <rPr>
        <sz val="16"/>
        <rFont val="Symbol"/>
        <charset val="2"/>
      </rPr>
      <t>·</t>
    </r>
    <r>
      <rPr>
        <sz val="16"/>
        <rFont val="Times New Roman"/>
        <charset val="134"/>
      </rPr>
      <t>      Suction machines</t>
    </r>
  </si>
  <si>
    <r>
      <rPr>
        <sz val="16"/>
        <rFont val="Symbol"/>
        <charset val="2"/>
      </rPr>
      <t>·</t>
    </r>
    <r>
      <rPr>
        <sz val="16"/>
        <rFont val="Times New Roman"/>
        <charset val="134"/>
      </rPr>
      <t>      Airways sets</t>
    </r>
  </si>
  <si>
    <r>
      <rPr>
        <sz val="16"/>
        <rFont val="Symbol"/>
        <charset val="2"/>
      </rPr>
      <t>·</t>
    </r>
    <r>
      <rPr>
        <sz val="16"/>
        <rFont val="Times New Roman"/>
        <charset val="134"/>
      </rPr>
      <t>      Emergency trolley that includes defibrillator, all neonate’s emergency drugs, infant resuscitator, etc.</t>
    </r>
  </si>
  <si>
    <r>
      <rPr>
        <sz val="16"/>
        <rFont val="Symbol"/>
        <charset val="2"/>
      </rPr>
      <t>·</t>
    </r>
    <r>
      <rPr>
        <sz val="16"/>
        <rFont val="Times New Roman"/>
        <charset val="134"/>
      </rPr>
      <t xml:space="preserve">      Monitors </t>
    </r>
  </si>
  <si>
    <r>
      <rPr>
        <sz val="16"/>
        <rFont val="Symbol"/>
        <charset val="2"/>
      </rPr>
      <t>·</t>
    </r>
    <r>
      <rPr>
        <sz val="16"/>
        <rFont val="Times New Roman"/>
        <charset val="134"/>
      </rPr>
      <t xml:space="preserve">      Infusion pumps. </t>
    </r>
  </si>
  <si>
    <r>
      <rPr>
        <sz val="16"/>
        <rFont val="Symbol"/>
        <charset val="2"/>
      </rPr>
      <t>·</t>
    </r>
    <r>
      <rPr>
        <sz val="16"/>
        <rFont val="Times New Roman"/>
        <charset val="134"/>
      </rPr>
      <t>      ECG machine</t>
    </r>
  </si>
  <si>
    <t>SMCS.94.b</t>
  </si>
  <si>
    <t xml:space="preserve">The unit has enough isolation rooms with all required supply, and negative pressure. </t>
  </si>
  <si>
    <t>SMCS.94.c</t>
  </si>
  <si>
    <t>The unit has designated storage area for equipment.</t>
  </si>
  <si>
    <t>SMCS.94.d</t>
  </si>
  <si>
    <t>The unit has an access to emergency equipment</t>
  </si>
  <si>
    <t>SMCS.94.e</t>
  </si>
  <si>
    <t>All staff are trained on the use of the equipment</t>
  </si>
  <si>
    <t>SMCS.94.f</t>
  </si>
  <si>
    <t xml:space="preserve">Equipment is disinfected and cleaned on daily based as required </t>
  </si>
  <si>
    <t>SMCS.95</t>
  </si>
  <si>
    <t>The NICU strictly implements and maintains and supervises infection control prevention practice.</t>
  </si>
  <si>
    <t>Total Measures: 9</t>
  </si>
  <si>
    <t>SMCS.95.a</t>
  </si>
  <si>
    <t xml:space="preserve">The NICU strictly follows and implements hospital infection control and prevention guidelines. </t>
  </si>
  <si>
    <t>SMCS.95.b</t>
  </si>
  <si>
    <t xml:space="preserve">The NICU environment is maintained clean and disinfected all times. </t>
  </si>
  <si>
    <t>SMCS.95.c</t>
  </si>
  <si>
    <t xml:space="preserve">All unit staff are well trained and oriented to the infection control guidelines applied to the unit. The unit allocates champion to monitor infection control practice. </t>
  </si>
  <si>
    <t>SMCS.95.d</t>
  </si>
  <si>
    <t>Standard precautions are strictly followed in the NICU, with strict emphasis on the hand hygiene and appropriate PPEs and other barriers.</t>
  </si>
  <si>
    <t>SMCS.95.e</t>
  </si>
  <si>
    <t>There is regular audit to assess compliance to ICP guidelines.</t>
  </si>
  <si>
    <t>SMCS.95.f</t>
  </si>
  <si>
    <t>Unit rooms, equipment, and ventilators is cleaned and disinfected as per the ICP guidelines.</t>
  </si>
  <si>
    <t>SMCS.95.g</t>
  </si>
  <si>
    <t>The unit scrubs suits are only allowed inside the restricted areas of the unit.</t>
  </si>
  <si>
    <t>SMCS.95.h</t>
  </si>
  <si>
    <t>There is clear guideline on management, and proper handling of patients with infectious diseases.</t>
  </si>
  <si>
    <t>SMCS.95.i</t>
  </si>
  <si>
    <t>Patients with infectious diseases are isolated in rooms with appropriate pressure.</t>
  </si>
  <si>
    <t>SMCS.96</t>
  </si>
  <si>
    <t>The NICU implements various approaches to maintain competency of the unit staff.</t>
  </si>
  <si>
    <t>Total Measures: 15</t>
  </si>
  <si>
    <t>SMCS.96.a</t>
  </si>
  <si>
    <t xml:space="preserve">The unit has a structured orientation program and training for all newly joining nursing staff, with a written orientation checklist. </t>
  </si>
  <si>
    <t>SMCS.96.b</t>
  </si>
  <si>
    <t>All unit nursing staff receive required training and education on intensive care related cases and procedures, covering:</t>
  </si>
  <si>
    <r>
      <rPr>
        <sz val="16"/>
        <rFont val="Symbol"/>
        <charset val="2"/>
      </rPr>
      <t>·</t>
    </r>
    <r>
      <rPr>
        <sz val="16"/>
        <rFont val="Times New Roman"/>
        <charset val="134"/>
      </rPr>
      <t xml:space="preserve">      Fundamentals of newborn critical care </t>
    </r>
  </si>
  <si>
    <r>
      <rPr>
        <sz val="16"/>
        <rFont val="Symbol"/>
        <charset val="2"/>
      </rPr>
      <t>·</t>
    </r>
    <r>
      <rPr>
        <sz val="16"/>
        <rFont val="Times New Roman"/>
        <charset val="134"/>
      </rPr>
      <t>      VAP bundle</t>
    </r>
  </si>
  <si>
    <r>
      <rPr>
        <sz val="16"/>
        <rFont val="Symbol"/>
        <charset val="2"/>
      </rPr>
      <t>·</t>
    </r>
    <r>
      <rPr>
        <sz val="16"/>
        <rFont val="Times New Roman"/>
        <charset val="134"/>
      </rPr>
      <t>      Care of newborns with ventilator</t>
    </r>
  </si>
  <si>
    <r>
      <rPr>
        <sz val="16"/>
        <rFont val="Symbol"/>
        <charset val="2"/>
      </rPr>
      <t>·</t>
    </r>
    <r>
      <rPr>
        <sz val="16"/>
        <rFont val="Times New Roman"/>
        <charset val="134"/>
      </rPr>
      <t xml:space="preserve">      Care of infants in incubator. </t>
    </r>
  </si>
  <si>
    <r>
      <rPr>
        <sz val="16"/>
        <rFont val="Symbol"/>
        <charset val="2"/>
      </rPr>
      <t>·</t>
    </r>
    <r>
      <rPr>
        <sz val="16"/>
        <rFont val="Times New Roman"/>
        <charset val="134"/>
      </rPr>
      <t>      Safe Medication Practice in NICU</t>
    </r>
  </si>
  <si>
    <r>
      <rPr>
        <sz val="16"/>
        <rFont val="Symbol"/>
        <charset val="2"/>
      </rPr>
      <t>·</t>
    </r>
    <r>
      <rPr>
        <sz val="16"/>
        <rFont val="Times New Roman"/>
        <charset val="134"/>
      </rPr>
      <t>      Handover guides in NICU</t>
    </r>
  </si>
  <si>
    <r>
      <rPr>
        <sz val="16"/>
        <rFont val="Symbol"/>
        <charset val="2"/>
      </rPr>
      <t>·</t>
    </r>
    <r>
      <rPr>
        <sz val="16"/>
        <rFont val="Times New Roman"/>
        <charset val="134"/>
      </rPr>
      <t xml:space="preserve">      CLABSI bundle </t>
    </r>
  </si>
  <si>
    <r>
      <rPr>
        <sz val="16"/>
        <rFont val="Symbol"/>
        <charset val="2"/>
      </rPr>
      <t>·</t>
    </r>
    <r>
      <rPr>
        <sz val="16"/>
        <rFont val="Times New Roman"/>
        <charset val="134"/>
      </rPr>
      <t>      Assisting physicians in the different procedures performed in the NICU including securing central lines access</t>
    </r>
  </si>
  <si>
    <r>
      <rPr>
        <sz val="16"/>
        <rFont val="Symbol"/>
        <charset val="2"/>
      </rPr>
      <t>·</t>
    </r>
    <r>
      <rPr>
        <sz val="16"/>
        <rFont val="Times New Roman"/>
        <charset val="134"/>
      </rPr>
      <t xml:space="preserve">      Care of newborns with endo-tracheal tube (ETT), </t>
    </r>
  </si>
  <si>
    <r>
      <rPr>
        <sz val="16"/>
        <rFont val="Symbol"/>
        <charset val="2"/>
      </rPr>
      <t>·</t>
    </r>
    <r>
      <rPr>
        <sz val="16"/>
        <rFont val="Times New Roman"/>
        <charset val="134"/>
      </rPr>
      <t xml:space="preserve">      Care of newborns with tracheostomy. </t>
    </r>
  </si>
  <si>
    <t>SMCS.96.c</t>
  </si>
  <si>
    <t>The unit has a clinical nurse educator/ instructor, responsible about staff training and competency.</t>
  </si>
  <si>
    <t>SMCS.96.d</t>
  </si>
  <si>
    <t>The unit has an annual training plan to ensure a proper coverage of the staff into different courses.</t>
  </si>
  <si>
    <t>SMCS.96.e</t>
  </si>
  <si>
    <t xml:space="preserve">The staff performance is monitored through competency checklist </t>
  </si>
  <si>
    <t>SMCS.96.f</t>
  </si>
  <si>
    <t>The staff competency assessment is documented and kept in staff personal file</t>
  </si>
  <si>
    <t>SMCS.97</t>
  </si>
  <si>
    <t xml:space="preserve">The care in NICU is coordinated with other multidisciplinary team, to provide and monitor the quality of care provided to new-born. </t>
  </si>
  <si>
    <t>SMCS.97.a</t>
  </si>
  <si>
    <t xml:space="preserve">The unit has multidisciplinary team includes but not limited to: 
NICU physicians, NICU nurse, respiratory therapist, clinical pharmacist, dietitian, infection control team, and other specialties that affect the practice in the NICU,
</t>
  </si>
  <si>
    <t>SMCS.97.b</t>
  </si>
  <si>
    <t>The unit has a written, structured program for quality management in the NICU</t>
  </si>
  <si>
    <t>SMCS.97.c</t>
  </si>
  <si>
    <t>Regular joint meetings are conducted with Obstetrics department (and other departments when indicated) to review shared cases, and to improve service provided.</t>
  </si>
  <si>
    <t>SMCS.97.d</t>
  </si>
  <si>
    <t>Unit leadership reviews cases of perinatal mortalities regularly</t>
  </si>
  <si>
    <t>SMCS.97.e</t>
  </si>
  <si>
    <t xml:space="preserve">Morbidities are reviewed regularly with recommendations to reduce them. </t>
  </si>
  <si>
    <t>SMCS.97.f</t>
  </si>
  <si>
    <t>NICU team monitors the outcomes of their extreme preterm new-born.</t>
  </si>
  <si>
    <t>SMCS.97.g</t>
  </si>
  <si>
    <t>The unit leadership review reported incidents, with analysis and disseminate learning lessons.</t>
  </si>
  <si>
    <t>SMCS.97.h</t>
  </si>
  <si>
    <t>Unit has a set of key performance indicators, which are reported regularly, with improvement action plans.</t>
  </si>
  <si>
    <t>SMCS.97.i</t>
  </si>
  <si>
    <t>Training is conducted for both NICU doctors and nurses on patient safety and quality.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</si>
</sst>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>
    <font>
      <sz val="12"/>
      <color theme="1"/>
      <name val="Calibri"/>
      <charset val="134"/>
      <scheme val="minor"/>
    </font>
    <font>
      <b/>
      <sz val="16"/>
      <color rgb="FF000000"/>
      <name val="Times New Roman"/>
      <charset val="134"/>
    </font>
    <font>
      <b/>
      <sz val="18"/>
      <color rgb="FF000000"/>
      <name val="Times New Roman"/>
      <charset val="134"/>
    </font>
    <font>
      <sz val="12"/>
      <color rgb="FF000000"/>
      <name val="Calibri"/>
      <charset val="134"/>
      <scheme val="minor"/>
    </font>
    <font>
      <b/>
      <sz val="14"/>
      <color rgb="FF000000"/>
      <name val="Times New Roman"/>
      <charset val="134"/>
    </font>
    <font>
      <sz val="11"/>
      <color rgb="FF9C6500"/>
      <name val="Calibri"/>
      <charset val="134"/>
      <scheme val="minor"/>
    </font>
    <font>
      <b/>
      <sz val="22"/>
      <color rgb="FFC00000"/>
      <name val="Calibri"/>
      <charset val="134"/>
      <scheme val="minor"/>
    </font>
    <font>
      <b/>
      <sz val="16"/>
      <name val="Times New Roman"/>
      <charset val="134"/>
    </font>
    <font>
      <b/>
      <sz val="12"/>
      <color rgb="FF000000"/>
      <name val="Times New Roman"/>
      <charset val="134"/>
    </font>
    <font>
      <b/>
      <sz val="16"/>
      <color theme="1"/>
      <name val="Times New Roman"/>
      <charset val="134"/>
    </font>
    <font>
      <b/>
      <sz val="14"/>
      <color theme="1"/>
      <name val="Times New Roman"/>
      <charset val="134"/>
    </font>
    <font>
      <sz val="16"/>
      <color theme="1"/>
      <name val="Times New Roman"/>
      <charset val="134"/>
    </font>
    <font>
      <sz val="16"/>
      <color theme="1"/>
      <name val="Calibri"/>
      <charset val="134"/>
      <scheme val="minor"/>
    </font>
    <font>
      <sz val="16"/>
      <name val="Symbol"/>
      <charset val="2"/>
    </font>
    <font>
      <sz val="16"/>
      <name val="Times New Roman"/>
      <charset val="134"/>
    </font>
    <font>
      <sz val="14"/>
      <color theme="1"/>
      <name val="Calibri"/>
      <charset val="134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E4DFEC"/>
        <bgColor rgb="FF000000"/>
      </patternFill>
    </fill>
    <fill>
      <patternFill patternType="solid">
        <fgColor rgb="FFDDD9C4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FFEB9C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79646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59999389629810485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ck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</borders>
  <cellStyleXfs count="2">
    <xf numFmtId="0" fontId="0" fillId="0" borderId="0"/>
    <xf numFmtId="0" fontId="5" fillId="5" borderId="0" applyNumberFormat="0" applyBorder="0" applyAlignment="0" applyProtection="0"/>
  </cellStyleXfs>
  <cellXfs count="5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3" fillId="4" borderId="6" xfId="0" applyFont="1" applyFill="1" applyBorder="1"/>
    <xf numFmtId="0" fontId="4" fillId="4" borderId="7" xfId="0" applyFont="1" applyFill="1" applyBorder="1" applyAlignment="1">
      <alignment horizontal="center" vertical="center"/>
    </xf>
    <xf numFmtId="0" fontId="6" fillId="5" borderId="8" xfId="1" applyFont="1" applyBorder="1" applyAlignment="1">
      <alignment horizontal="center" vertical="center"/>
    </xf>
    <xf numFmtId="0" fontId="6" fillId="5" borderId="7" xfId="1" applyFont="1" applyBorder="1" applyAlignment="1">
      <alignment horizontal="center" vertical="center"/>
    </xf>
    <xf numFmtId="0" fontId="6" fillId="5" borderId="9" xfId="1" applyFont="1" applyBorder="1" applyAlignment="1">
      <alignment horizontal="center" vertical="center"/>
    </xf>
    <xf numFmtId="0" fontId="7" fillId="6" borderId="10" xfId="0" applyFont="1" applyFill="1" applyBorder="1" applyAlignment="1">
      <alignment horizontal="center" vertical="center"/>
    </xf>
    <xf numFmtId="0" fontId="7" fillId="6" borderId="10" xfId="0" applyFont="1" applyFill="1" applyBorder="1" applyAlignment="1">
      <alignment vertical="center"/>
    </xf>
    <xf numFmtId="0" fontId="8" fillId="7" borderId="10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9" fillId="8" borderId="11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9" fillId="8" borderId="13" xfId="0" applyFont="1" applyFill="1" applyBorder="1" applyAlignment="1">
      <alignment horizontal="center" vertical="center"/>
    </xf>
    <xf numFmtId="0" fontId="9" fillId="9" borderId="14" xfId="0" applyFont="1" applyFill="1" applyBorder="1" applyAlignment="1">
      <alignment vertical="center" wrapText="1"/>
    </xf>
    <xf numFmtId="0" fontId="9" fillId="9" borderId="14" xfId="0" applyFont="1" applyFill="1" applyBorder="1" applyAlignment="1">
      <alignment horizontal="justify" vertical="center" wrapText="1"/>
    </xf>
    <xf numFmtId="0" fontId="10" fillId="9" borderId="11" xfId="0" applyFont="1" applyFill="1" applyBorder="1" applyAlignment="1">
      <alignment horizontal="left" vertical="center"/>
    </xf>
    <xf numFmtId="0" fontId="10" fillId="9" borderId="13" xfId="0" applyFont="1" applyFill="1" applyBorder="1" applyAlignment="1">
      <alignment horizontal="left" vertical="center"/>
    </xf>
    <xf numFmtId="0" fontId="10" fillId="9" borderId="15" xfId="0" applyFont="1" applyFill="1" applyBorder="1" applyAlignment="1">
      <alignment horizontal="left" vertical="center"/>
    </xf>
    <xf numFmtId="0" fontId="9" fillId="10" borderId="14" xfId="0" applyFont="1" applyFill="1" applyBorder="1" applyAlignment="1">
      <alignment horizontal="justify" vertical="center" wrapText="1"/>
    </xf>
    <xf numFmtId="0" fontId="11" fillId="11" borderId="14" xfId="0" applyFont="1" applyFill="1" applyBorder="1" applyAlignment="1">
      <alignment horizontal="justify" vertical="center" wrapText="1"/>
    </xf>
    <xf numFmtId="0" fontId="12" fillId="0" borderId="14" xfId="0" applyFont="1" applyBorder="1" applyProtection="1">
      <protection locked="0"/>
    </xf>
    <xf numFmtId="0" fontId="9" fillId="10" borderId="16" xfId="0" applyFont="1" applyFill="1" applyBorder="1" applyAlignment="1">
      <alignment horizontal="justify" vertical="center" wrapText="1"/>
    </xf>
    <xf numFmtId="0" fontId="11" fillId="11" borderId="16" xfId="0" applyFont="1" applyFill="1" applyBorder="1" applyAlignment="1">
      <alignment horizontal="left" vertical="center" wrapText="1"/>
    </xf>
    <xf numFmtId="0" fontId="12" fillId="0" borderId="16" xfId="0" applyFont="1" applyBorder="1" applyProtection="1">
      <protection locked="0"/>
    </xf>
    <xf numFmtId="0" fontId="9" fillId="9" borderId="16" xfId="0" applyFont="1" applyFill="1" applyBorder="1" applyAlignment="1">
      <alignment vertical="center" wrapText="1"/>
    </xf>
    <xf numFmtId="0" fontId="9" fillId="9" borderId="16" xfId="0" applyFont="1" applyFill="1" applyBorder="1" applyAlignment="1">
      <alignment horizontal="justify" vertical="center" wrapText="1"/>
    </xf>
    <xf numFmtId="0" fontId="11" fillId="11" borderId="14" xfId="0" applyFont="1" applyFill="1" applyBorder="1" applyAlignment="1">
      <alignment vertical="center" wrapText="1"/>
    </xf>
    <xf numFmtId="0" fontId="9" fillId="10" borderId="14" xfId="0" applyFont="1" applyFill="1" applyBorder="1" applyAlignment="1">
      <alignment horizontal="justify" vertical="center" wrapText="1"/>
    </xf>
    <xf numFmtId="0" fontId="11" fillId="12" borderId="14" xfId="0" applyFont="1" applyFill="1" applyBorder="1" applyAlignment="1">
      <alignment vertical="center" wrapText="1"/>
    </xf>
    <xf numFmtId="0" fontId="12" fillId="12" borderId="11" xfId="0" applyFont="1" applyFill="1" applyBorder="1" applyAlignment="1">
      <alignment horizontal="center"/>
    </xf>
    <xf numFmtId="0" fontId="12" fillId="12" borderId="12" xfId="0" applyFont="1" applyFill="1" applyBorder="1" applyAlignment="1">
      <alignment horizontal="center"/>
    </xf>
    <xf numFmtId="0" fontId="12" fillId="12" borderId="13" xfId="0" applyFont="1" applyFill="1" applyBorder="1" applyAlignment="1">
      <alignment horizontal="center"/>
    </xf>
    <xf numFmtId="0" fontId="13" fillId="11" borderId="14" xfId="0" applyFont="1" applyFill="1" applyBorder="1" applyAlignment="1">
      <alignment horizontal="left" vertical="center" wrapText="1" indent="3"/>
    </xf>
    <xf numFmtId="0" fontId="13" fillId="11" borderId="14" xfId="0" applyFont="1" applyFill="1" applyBorder="1" applyAlignment="1">
      <alignment horizontal="justify" vertical="center" wrapText="1"/>
    </xf>
    <xf numFmtId="0" fontId="7" fillId="9" borderId="16" xfId="0" applyFont="1" applyFill="1" applyBorder="1" applyAlignment="1">
      <alignment horizontal="justify" vertical="center" wrapText="1"/>
    </xf>
    <xf numFmtId="0" fontId="1" fillId="9" borderId="16" xfId="0" applyFont="1" applyFill="1" applyBorder="1" applyAlignment="1">
      <alignment horizontal="justify" vertical="center" wrapText="1"/>
    </xf>
    <xf numFmtId="0" fontId="9" fillId="9" borderId="16" xfId="0" applyFont="1" applyFill="1" applyBorder="1" applyAlignment="1">
      <alignment horizontal="left" vertical="center" wrapText="1"/>
    </xf>
    <xf numFmtId="0" fontId="14" fillId="11" borderId="14" xfId="0" applyFont="1" applyFill="1" applyBorder="1" applyAlignment="1">
      <alignment horizontal="justify" vertical="center" wrapText="1"/>
    </xf>
    <xf numFmtId="0" fontId="14" fillId="12" borderId="14" xfId="0" applyFont="1" applyFill="1" applyBorder="1" applyAlignment="1">
      <alignment horizontal="justify" vertical="center" wrapText="1"/>
    </xf>
    <xf numFmtId="0" fontId="12" fillId="0" borderId="16" xfId="0" applyFont="1" applyBorder="1" applyAlignment="1" applyProtection="1">
      <alignment horizontal="center"/>
      <protection locked="0"/>
    </xf>
    <xf numFmtId="0" fontId="9" fillId="10" borderId="14" xfId="0" applyFont="1" applyFill="1" applyBorder="1" applyAlignment="1">
      <alignment vertical="center" wrapText="1"/>
    </xf>
    <xf numFmtId="0" fontId="0" fillId="0" borderId="0" xfId="0" applyAlignment="1">
      <alignment vertical="top"/>
    </xf>
    <xf numFmtId="0" fontId="15" fillId="0" borderId="0" xfId="0" applyFon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AF187"/>
  <sheetViews>
    <sheetView tabSelected="1" topLeftCell="A71" workbookViewId="0">
      <selection activeCell="C82" sqref="C82"/>
    </sheetView>
  </sheetViews>
  <sheetFormatPr defaultColWidth="11" defaultRowHeight="18"/>
  <cols>
    <col min="1" max="1" width="17.3984375" customWidth="1"/>
    <col min="2" max="2" width="83" style="50" customWidth="1"/>
    <col min="3" max="3" width="18.8984375" customWidth="1"/>
    <col min="4" max="5" width="70.59765625" customWidth="1"/>
  </cols>
  <sheetData>
    <row r="1" spans="1:32" ht="48" customHeight="1">
      <c r="A1" s="1" t="s">
        <v>0</v>
      </c>
      <c r="B1" s="2"/>
      <c r="C1" s="2"/>
      <c r="D1" s="2"/>
      <c r="E1" s="3"/>
    </row>
    <row r="2" spans="1:32" ht="39" customHeight="1">
      <c r="A2" s="4" t="s">
        <v>1</v>
      </c>
      <c r="B2" s="5"/>
      <c r="C2" s="5"/>
      <c r="D2" s="5"/>
      <c r="E2" s="6"/>
    </row>
    <row r="3" spans="1:32" ht="33.9" customHeight="1" thickBot="1">
      <c r="A3" s="7" t="s">
        <v>2</v>
      </c>
      <c r="B3" s="7"/>
      <c r="C3" s="7"/>
      <c r="D3" s="7"/>
      <c r="E3" s="8"/>
    </row>
    <row r="4" spans="1:32" ht="29.4" thickBot="1">
      <c r="A4" s="9"/>
      <c r="B4" s="10"/>
      <c r="C4" s="11" t="str">
        <f>"Total Score: "&amp;ROUND((AA4/AB4)*100,2)&amp;"%"</f>
        <v>Total Score: 0%</v>
      </c>
      <c r="D4" s="12"/>
      <c r="E4" s="13"/>
      <c r="AA4">
        <f>SUM(AA7:AA82)+SUM(AB7:AB82)*0.5</f>
        <v>0</v>
      </c>
      <c r="AB4">
        <f>COUNT(AA7:AA82)-SUM(AB7:AD82)</f>
        <v>66</v>
      </c>
    </row>
    <row r="5" spans="1:32" ht="45" customHeight="1" thickBot="1">
      <c r="A5" s="14" t="s">
        <v>3</v>
      </c>
      <c r="B5" s="15" t="s">
        <v>4</v>
      </c>
      <c r="C5" s="16" t="s">
        <v>5</v>
      </c>
      <c r="D5" s="17" t="s">
        <v>6</v>
      </c>
      <c r="E5" s="17" t="s">
        <v>7</v>
      </c>
    </row>
    <row r="6" spans="1:32" ht="38.1" customHeight="1" thickTop="1" thickBot="1">
      <c r="A6" s="18" t="s">
        <v>8</v>
      </c>
      <c r="B6" s="19"/>
      <c r="C6" s="19"/>
      <c r="D6" s="19"/>
      <c r="E6" s="20"/>
    </row>
    <row r="7" spans="1:32" ht="56.25" customHeight="1" thickTop="1" thickBot="1">
      <c r="A7" s="21" t="s">
        <v>9</v>
      </c>
      <c r="B7" s="22" t="s">
        <v>10</v>
      </c>
      <c r="C7" s="23" t="s">
        <v>11</v>
      </c>
      <c r="D7" s="24"/>
      <c r="E7" s="25" t="str">
        <f>"Quotation: "&amp;ROUND((AE7/AF7)*100,2)&amp;"%"</f>
        <v>Quotation: 0%</v>
      </c>
      <c r="AE7">
        <f>SUM(AA8:AA10)+SUM(AB8:AB10)*0.5</f>
        <v>0</v>
      </c>
      <c r="AF7">
        <f>COUNT(AA8:AA10)-SUM(AD8:AD10)</f>
        <v>3</v>
      </c>
    </row>
    <row r="8" spans="1:32" ht="43.2" thickTop="1" thickBot="1">
      <c r="A8" s="26" t="s">
        <v>12</v>
      </c>
      <c r="B8" s="27" t="s">
        <v>13</v>
      </c>
      <c r="C8" s="28"/>
      <c r="D8" s="28"/>
      <c r="E8" s="28"/>
      <c r="AA8">
        <f>IF(C8="Met",1,0)</f>
        <v>0</v>
      </c>
      <c r="AB8">
        <f>IF(C8="Partially Met",1,0)</f>
        <v>0</v>
      </c>
      <c r="AC8">
        <f>IF(C8="UnMet",1,0)</f>
        <v>0</v>
      </c>
      <c r="AD8">
        <f>IF(C8="Not Applicable",1,0)</f>
        <v>0</v>
      </c>
    </row>
    <row r="9" spans="1:32" ht="43.2" thickTop="1" thickBot="1">
      <c r="A9" s="26" t="s">
        <v>14</v>
      </c>
      <c r="B9" s="27" t="s">
        <v>15</v>
      </c>
      <c r="C9" s="28"/>
      <c r="D9" s="28"/>
      <c r="E9" s="28"/>
      <c r="AA9">
        <f>IF(C9="Met",1,0)</f>
        <v>0</v>
      </c>
      <c r="AB9">
        <f>IF(C9="Partially Met",1,0)</f>
        <v>0</v>
      </c>
      <c r="AC9">
        <f>IF(C9="UnMet",1,0)</f>
        <v>0</v>
      </c>
      <c r="AD9">
        <f>IF(C9="Not Applicable",1,0)</f>
        <v>0</v>
      </c>
    </row>
    <row r="10" spans="1:32" ht="63" customHeight="1" thickTop="1" thickBot="1">
      <c r="A10" s="29" t="s">
        <v>16</v>
      </c>
      <c r="B10" s="30" t="s">
        <v>17</v>
      </c>
      <c r="C10" s="31"/>
      <c r="D10" s="31"/>
      <c r="E10" s="31"/>
      <c r="AA10">
        <f>IF(C10="Met",1,0)</f>
        <v>0</v>
      </c>
      <c r="AB10">
        <f>IF(C10="Partially Met",1,0)</f>
        <v>0</v>
      </c>
      <c r="AC10">
        <f>IF(C10="UnMet",1,0)</f>
        <v>0</v>
      </c>
      <c r="AD10">
        <f>IF(C10="Not Applicable",1,0)</f>
        <v>0</v>
      </c>
    </row>
    <row r="11" spans="1:32" ht="60.75" customHeight="1" thickTop="1" thickBot="1">
      <c r="A11" s="32" t="s">
        <v>18</v>
      </c>
      <c r="B11" s="33" t="s">
        <v>19</v>
      </c>
      <c r="C11" s="23" t="s">
        <v>20</v>
      </c>
      <c r="D11" s="24"/>
      <c r="E11" s="25" t="str">
        <f>"Quotation: "&amp;ROUND((AE11/AF11)*100,2)&amp;"%"</f>
        <v>Quotation: 0%</v>
      </c>
      <c r="AE11">
        <f>SUM(AA12:AA18)+SUM(AB12:AB18)*0.5</f>
        <v>0</v>
      </c>
      <c r="AF11">
        <f>COUNT(AA12:AA18)-SUM(AD12:AD18)</f>
        <v>7</v>
      </c>
    </row>
    <row r="12" spans="1:32" ht="64.2" thickTop="1" thickBot="1">
      <c r="A12" s="26" t="s">
        <v>21</v>
      </c>
      <c r="B12" s="34" t="s">
        <v>22</v>
      </c>
      <c r="C12" s="28"/>
      <c r="D12" s="28"/>
      <c r="E12" s="28"/>
      <c r="AA12">
        <f t="shared" ref="AA12:AA18" si="0">IF(C12="Met",1,0)</f>
        <v>0</v>
      </c>
      <c r="AB12">
        <f t="shared" ref="AB12:AB18" si="1">IF(C12="Partially Met",1,0)</f>
        <v>0</v>
      </c>
      <c r="AC12">
        <f t="shared" ref="AC12:AC18" si="2">IF(C12="UnMet",1,0)</f>
        <v>0</v>
      </c>
      <c r="AD12">
        <f t="shared" ref="AD12:AD18" si="3">IF(C12="Not Applicable",1,0)</f>
        <v>0</v>
      </c>
    </row>
    <row r="13" spans="1:32" ht="43.2" thickTop="1" thickBot="1">
      <c r="A13" s="26" t="s">
        <v>23</v>
      </c>
      <c r="B13" s="34" t="s">
        <v>24</v>
      </c>
      <c r="C13" s="28"/>
      <c r="D13" s="28"/>
      <c r="E13" s="28"/>
      <c r="AA13">
        <f t="shared" si="0"/>
        <v>0</v>
      </c>
      <c r="AB13">
        <f t="shared" si="1"/>
        <v>0</v>
      </c>
      <c r="AC13">
        <f t="shared" si="2"/>
        <v>0</v>
      </c>
      <c r="AD13">
        <f t="shared" si="3"/>
        <v>0</v>
      </c>
    </row>
    <row r="14" spans="1:32" ht="43.2" thickTop="1" thickBot="1">
      <c r="A14" s="26" t="s">
        <v>25</v>
      </c>
      <c r="B14" s="34" t="s">
        <v>26</v>
      </c>
      <c r="C14" s="28"/>
      <c r="D14" s="28"/>
      <c r="E14" s="28"/>
      <c r="AA14">
        <f t="shared" si="0"/>
        <v>0</v>
      </c>
      <c r="AB14">
        <f t="shared" si="1"/>
        <v>0</v>
      </c>
      <c r="AC14">
        <f t="shared" si="2"/>
        <v>0</v>
      </c>
      <c r="AD14">
        <f t="shared" si="3"/>
        <v>0</v>
      </c>
    </row>
    <row r="15" spans="1:32" ht="64.2" thickTop="1" thickBot="1">
      <c r="A15" s="26" t="s">
        <v>27</v>
      </c>
      <c r="B15" s="34" t="s">
        <v>28</v>
      </c>
      <c r="C15" s="28"/>
      <c r="D15" s="28"/>
      <c r="E15" s="28"/>
      <c r="AA15">
        <f t="shared" si="0"/>
        <v>0</v>
      </c>
      <c r="AB15">
        <f t="shared" si="1"/>
        <v>0</v>
      </c>
      <c r="AC15">
        <f t="shared" si="2"/>
        <v>0</v>
      </c>
      <c r="AD15">
        <f t="shared" si="3"/>
        <v>0</v>
      </c>
    </row>
    <row r="16" spans="1:32" ht="85.2" thickTop="1" thickBot="1">
      <c r="A16" s="26" t="s">
        <v>29</v>
      </c>
      <c r="B16" s="34" t="s">
        <v>30</v>
      </c>
      <c r="C16" s="28"/>
      <c r="D16" s="28"/>
      <c r="E16" s="28"/>
      <c r="AA16">
        <f t="shared" si="0"/>
        <v>0</v>
      </c>
      <c r="AB16">
        <f t="shared" si="1"/>
        <v>0</v>
      </c>
      <c r="AC16">
        <f t="shared" si="2"/>
        <v>0</v>
      </c>
      <c r="AD16">
        <f t="shared" si="3"/>
        <v>0</v>
      </c>
    </row>
    <row r="17" spans="1:32" ht="43.2" thickTop="1" thickBot="1">
      <c r="A17" s="26" t="s">
        <v>29</v>
      </c>
      <c r="B17" s="34" t="s">
        <v>31</v>
      </c>
      <c r="C17" s="28"/>
      <c r="D17" s="28"/>
      <c r="E17" s="28"/>
      <c r="AA17">
        <f t="shared" si="0"/>
        <v>0</v>
      </c>
      <c r="AB17">
        <f t="shared" si="1"/>
        <v>0</v>
      </c>
      <c r="AC17">
        <f t="shared" si="2"/>
        <v>0</v>
      </c>
      <c r="AD17">
        <f t="shared" si="3"/>
        <v>0</v>
      </c>
    </row>
    <row r="18" spans="1:32" ht="43.2" thickTop="1" thickBot="1">
      <c r="A18" s="26" t="s">
        <v>32</v>
      </c>
      <c r="B18" s="34" t="s">
        <v>33</v>
      </c>
      <c r="C18" s="28"/>
      <c r="D18" s="28"/>
      <c r="E18" s="28"/>
      <c r="AA18">
        <f t="shared" si="0"/>
        <v>0</v>
      </c>
      <c r="AB18">
        <f t="shared" si="1"/>
        <v>0</v>
      </c>
      <c r="AC18">
        <f t="shared" si="2"/>
        <v>0</v>
      </c>
      <c r="AD18">
        <f t="shared" si="3"/>
        <v>0</v>
      </c>
    </row>
    <row r="19" spans="1:32" ht="62.25" customHeight="1" thickTop="1" thickBot="1">
      <c r="A19" s="32" t="s">
        <v>34</v>
      </c>
      <c r="B19" s="33" t="s">
        <v>35</v>
      </c>
      <c r="C19" s="23" t="s">
        <v>36</v>
      </c>
      <c r="D19" s="24"/>
      <c r="E19" s="25" t="str">
        <f>"Quotation: "&amp;ROUND((AE19/AF19)*100,2)&amp;"%"</f>
        <v>Quotation: 0%</v>
      </c>
      <c r="AE19">
        <f>SUM(AA20:AA30)+SUM(AB20:AB30)*0.5</f>
        <v>0</v>
      </c>
      <c r="AF19">
        <f>COUNT(AA20:AA30)-SUM(AD20:AD30)</f>
        <v>10</v>
      </c>
    </row>
    <row r="20" spans="1:32" ht="64.2" thickTop="1" thickBot="1">
      <c r="A20" s="35" t="s">
        <v>37</v>
      </c>
      <c r="B20" s="36" t="s">
        <v>38</v>
      </c>
      <c r="C20" s="37"/>
      <c r="D20" s="38"/>
      <c r="E20" s="39"/>
    </row>
    <row r="21" spans="1:32" ht="43.2" thickTop="1" thickBot="1">
      <c r="A21" s="35"/>
      <c r="B21" s="40" t="s">
        <v>39</v>
      </c>
      <c r="C21" s="28"/>
      <c r="D21" s="28"/>
      <c r="E21" s="28"/>
      <c r="AA21">
        <f t="shared" ref="AA21:AA30" si="4">IF(C21="Met",1,0)</f>
        <v>0</v>
      </c>
      <c r="AB21">
        <f t="shared" ref="AB21:AB30" si="5">IF(C21="Partially Met",1,0)</f>
        <v>0</v>
      </c>
      <c r="AC21">
        <f t="shared" ref="AC21:AC30" si="6">IF(C21="UnMet",1,0)</f>
        <v>0</v>
      </c>
      <c r="AD21">
        <f t="shared" ref="AD21:AD30" si="7">IF(C21="Not Applicable",1,0)</f>
        <v>0</v>
      </c>
    </row>
    <row r="22" spans="1:32" ht="43.2" thickTop="1" thickBot="1">
      <c r="A22" s="35"/>
      <c r="B22" s="40" t="s">
        <v>40</v>
      </c>
      <c r="C22" s="28"/>
      <c r="D22" s="28"/>
      <c r="E22" s="28"/>
      <c r="AA22">
        <f t="shared" si="4"/>
        <v>0</v>
      </c>
      <c r="AB22">
        <f t="shared" si="5"/>
        <v>0</v>
      </c>
      <c r="AC22">
        <f t="shared" si="6"/>
        <v>0</v>
      </c>
      <c r="AD22">
        <f t="shared" si="7"/>
        <v>0</v>
      </c>
    </row>
    <row r="23" spans="1:32" ht="43.2" thickTop="1" thickBot="1">
      <c r="A23" s="35"/>
      <c r="B23" s="40" t="s">
        <v>41</v>
      </c>
      <c r="C23" s="28"/>
      <c r="D23" s="28"/>
      <c r="E23" s="28"/>
      <c r="AA23">
        <f t="shared" si="4"/>
        <v>0</v>
      </c>
      <c r="AB23">
        <f t="shared" si="5"/>
        <v>0</v>
      </c>
      <c r="AC23">
        <f t="shared" si="6"/>
        <v>0</v>
      </c>
      <c r="AD23">
        <f t="shared" si="7"/>
        <v>0</v>
      </c>
    </row>
    <row r="24" spans="1:32" ht="43.2" thickTop="1" thickBot="1">
      <c r="A24" s="35"/>
      <c r="B24" s="40" t="s">
        <v>42</v>
      </c>
      <c r="C24" s="28"/>
      <c r="D24" s="28"/>
      <c r="E24" s="28"/>
      <c r="AA24">
        <f t="shared" si="4"/>
        <v>0</v>
      </c>
      <c r="AB24">
        <f t="shared" si="5"/>
        <v>0</v>
      </c>
      <c r="AC24">
        <f t="shared" si="6"/>
        <v>0</v>
      </c>
      <c r="AD24">
        <f t="shared" si="7"/>
        <v>0</v>
      </c>
    </row>
    <row r="25" spans="1:32" ht="22.2" thickTop="1" thickBot="1">
      <c r="A25" s="35"/>
      <c r="B25" s="40" t="s">
        <v>43</v>
      </c>
      <c r="C25" s="28"/>
      <c r="D25" s="28"/>
      <c r="E25" s="28"/>
      <c r="AA25">
        <f t="shared" si="4"/>
        <v>0</v>
      </c>
      <c r="AB25">
        <f t="shared" si="5"/>
        <v>0</v>
      </c>
      <c r="AC25">
        <f t="shared" si="6"/>
        <v>0</v>
      </c>
      <c r="AD25">
        <f t="shared" si="7"/>
        <v>0</v>
      </c>
    </row>
    <row r="26" spans="1:32" ht="22.2" thickTop="1" thickBot="1">
      <c r="A26" s="35"/>
      <c r="B26" s="40" t="s">
        <v>44</v>
      </c>
      <c r="C26" s="28"/>
      <c r="D26" s="28"/>
      <c r="E26" s="28"/>
      <c r="AA26">
        <f t="shared" si="4"/>
        <v>0</v>
      </c>
      <c r="AB26">
        <f t="shared" si="5"/>
        <v>0</v>
      </c>
      <c r="AC26">
        <f t="shared" si="6"/>
        <v>0</v>
      </c>
      <c r="AD26">
        <f t="shared" si="7"/>
        <v>0</v>
      </c>
    </row>
    <row r="27" spans="1:32" ht="22.2" thickTop="1" thickBot="1">
      <c r="A27" s="35"/>
      <c r="B27" s="40" t="s">
        <v>45</v>
      </c>
      <c r="C27" s="28"/>
      <c r="D27" s="28"/>
      <c r="E27" s="28"/>
      <c r="AA27">
        <f t="shared" si="4"/>
        <v>0</v>
      </c>
      <c r="AB27">
        <f t="shared" si="5"/>
        <v>0</v>
      </c>
      <c r="AC27">
        <f t="shared" si="6"/>
        <v>0</v>
      </c>
      <c r="AD27">
        <f t="shared" si="7"/>
        <v>0</v>
      </c>
    </row>
    <row r="28" spans="1:32" ht="43.2" thickTop="1" thickBot="1">
      <c r="A28" s="26" t="s">
        <v>46</v>
      </c>
      <c r="B28" s="34" t="s">
        <v>47</v>
      </c>
      <c r="C28" s="28"/>
      <c r="D28" s="28"/>
      <c r="E28" s="28"/>
      <c r="AA28">
        <f t="shared" si="4"/>
        <v>0</v>
      </c>
      <c r="AB28">
        <f t="shared" si="5"/>
        <v>0</v>
      </c>
      <c r="AC28">
        <f t="shared" si="6"/>
        <v>0</v>
      </c>
      <c r="AD28">
        <f t="shared" si="7"/>
        <v>0</v>
      </c>
    </row>
    <row r="29" spans="1:32" ht="32.25" customHeight="1" thickTop="1" thickBot="1">
      <c r="A29" s="26" t="s">
        <v>48</v>
      </c>
      <c r="B29" s="34" t="s">
        <v>49</v>
      </c>
      <c r="C29" s="28"/>
      <c r="D29" s="28"/>
      <c r="E29" s="28"/>
      <c r="AA29">
        <f t="shared" si="4"/>
        <v>0</v>
      </c>
      <c r="AB29">
        <f t="shared" si="5"/>
        <v>0</v>
      </c>
      <c r="AC29">
        <f t="shared" si="6"/>
        <v>0</v>
      </c>
      <c r="AD29">
        <f t="shared" si="7"/>
        <v>0</v>
      </c>
    </row>
    <row r="30" spans="1:32" ht="37.5" customHeight="1" thickTop="1" thickBot="1">
      <c r="A30" s="26" t="s">
        <v>50</v>
      </c>
      <c r="B30" s="34" t="s">
        <v>51</v>
      </c>
      <c r="C30" s="28"/>
      <c r="D30" s="28"/>
      <c r="E30" s="28"/>
      <c r="AA30">
        <f t="shared" si="4"/>
        <v>0</v>
      </c>
      <c r="AB30">
        <f t="shared" si="5"/>
        <v>0</v>
      </c>
      <c r="AC30">
        <f t="shared" si="6"/>
        <v>0</v>
      </c>
      <c r="AD30">
        <f t="shared" si="7"/>
        <v>0</v>
      </c>
    </row>
    <row r="31" spans="1:32" ht="77.25" customHeight="1" thickTop="1" thickBot="1">
      <c r="A31" s="32" t="s">
        <v>52</v>
      </c>
      <c r="B31" s="32" t="s">
        <v>53</v>
      </c>
      <c r="C31" s="23" t="s">
        <v>54</v>
      </c>
      <c r="D31" s="24"/>
      <c r="E31" s="25" t="str">
        <f>"Quotation: "&amp;ROUND((AE31/AF31)*100,2)&amp;"%"</f>
        <v>Quotation: 0%</v>
      </c>
      <c r="AE31">
        <f>SUM(AA32:AA45)+SUM(AB32:AB45)*0.5</f>
        <v>0</v>
      </c>
      <c r="AF31">
        <f>COUNT(AA32:AA45)-SUM(AD32:AD45)</f>
        <v>13</v>
      </c>
    </row>
    <row r="32" spans="1:32" ht="43.2" thickTop="1" thickBot="1">
      <c r="A32" s="35" t="s">
        <v>55</v>
      </c>
      <c r="B32" s="36" t="s">
        <v>56</v>
      </c>
      <c r="C32" s="37"/>
      <c r="D32" s="38"/>
      <c r="E32" s="39"/>
    </row>
    <row r="33" spans="1:32" ht="22.2" thickTop="1" thickBot="1">
      <c r="A33" s="35"/>
      <c r="B33" s="41" t="s">
        <v>57</v>
      </c>
      <c r="C33" s="28"/>
      <c r="D33" s="28"/>
      <c r="E33" s="28"/>
      <c r="AA33">
        <f t="shared" ref="AA33:AA45" si="8">IF(C33="Met",1,0)</f>
        <v>0</v>
      </c>
      <c r="AB33">
        <f t="shared" ref="AB33:AB45" si="9">IF(C33="Partially Met",1,0)</f>
        <v>0</v>
      </c>
      <c r="AC33">
        <f t="shared" ref="AC33:AC45" si="10">IF(C33="UnMet",1,0)</f>
        <v>0</v>
      </c>
      <c r="AD33">
        <f t="shared" ref="AD33:AD45" si="11">IF(C33="Not Applicable",1,0)</f>
        <v>0</v>
      </c>
    </row>
    <row r="34" spans="1:32" ht="22.2" thickTop="1" thickBot="1">
      <c r="A34" s="35"/>
      <c r="B34" s="41" t="s">
        <v>58</v>
      </c>
      <c r="C34" s="28"/>
      <c r="D34" s="28"/>
      <c r="E34" s="28"/>
      <c r="AA34">
        <f t="shared" si="8"/>
        <v>0</v>
      </c>
      <c r="AB34">
        <f t="shared" si="9"/>
        <v>0</v>
      </c>
      <c r="AC34">
        <f t="shared" si="10"/>
        <v>0</v>
      </c>
      <c r="AD34">
        <f t="shared" si="11"/>
        <v>0</v>
      </c>
    </row>
    <row r="35" spans="1:32" ht="22.2" thickTop="1" thickBot="1">
      <c r="A35" s="35"/>
      <c r="B35" s="41" t="s">
        <v>59</v>
      </c>
      <c r="C35" s="28"/>
      <c r="D35" s="28"/>
      <c r="E35" s="28"/>
      <c r="AA35">
        <f t="shared" si="8"/>
        <v>0</v>
      </c>
      <c r="AB35">
        <f t="shared" si="9"/>
        <v>0</v>
      </c>
      <c r="AC35">
        <f t="shared" si="10"/>
        <v>0</v>
      </c>
      <c r="AD35">
        <f t="shared" si="11"/>
        <v>0</v>
      </c>
    </row>
    <row r="36" spans="1:32" ht="22.2" thickTop="1" thickBot="1">
      <c r="A36" s="35"/>
      <c r="B36" s="41" t="s">
        <v>60</v>
      </c>
      <c r="C36" s="28"/>
      <c r="D36" s="28"/>
      <c r="E36" s="28"/>
      <c r="AA36">
        <f t="shared" si="8"/>
        <v>0</v>
      </c>
      <c r="AB36">
        <f t="shared" si="9"/>
        <v>0</v>
      </c>
      <c r="AC36">
        <f t="shared" si="10"/>
        <v>0</v>
      </c>
      <c r="AD36">
        <f t="shared" si="11"/>
        <v>0</v>
      </c>
    </row>
    <row r="37" spans="1:32" ht="43.2" thickTop="1" thickBot="1">
      <c r="A37" s="35"/>
      <c r="B37" s="41" t="s">
        <v>61</v>
      </c>
      <c r="C37" s="28"/>
      <c r="D37" s="28"/>
      <c r="E37" s="28"/>
      <c r="AA37">
        <f t="shared" si="8"/>
        <v>0</v>
      </c>
      <c r="AB37">
        <f t="shared" si="9"/>
        <v>0</v>
      </c>
      <c r="AC37">
        <f t="shared" si="10"/>
        <v>0</v>
      </c>
      <c r="AD37">
        <f t="shared" si="11"/>
        <v>0</v>
      </c>
    </row>
    <row r="38" spans="1:32" ht="22.2" thickTop="1" thickBot="1">
      <c r="A38" s="35"/>
      <c r="B38" s="41" t="s">
        <v>62</v>
      </c>
      <c r="C38" s="28"/>
      <c r="D38" s="28"/>
      <c r="E38" s="28"/>
      <c r="AA38">
        <f t="shared" si="8"/>
        <v>0</v>
      </c>
      <c r="AB38">
        <f t="shared" si="9"/>
        <v>0</v>
      </c>
      <c r="AC38">
        <f t="shared" si="10"/>
        <v>0</v>
      </c>
      <c r="AD38">
        <f t="shared" si="11"/>
        <v>0</v>
      </c>
    </row>
    <row r="39" spans="1:32" ht="22.2" thickTop="1" thickBot="1">
      <c r="A39" s="35"/>
      <c r="B39" s="41" t="s">
        <v>63</v>
      </c>
      <c r="C39" s="28"/>
      <c r="D39" s="28"/>
      <c r="E39" s="28"/>
      <c r="AA39">
        <f t="shared" si="8"/>
        <v>0</v>
      </c>
      <c r="AB39">
        <f t="shared" si="9"/>
        <v>0</v>
      </c>
      <c r="AC39">
        <f t="shared" si="10"/>
        <v>0</v>
      </c>
      <c r="AD39">
        <f t="shared" si="11"/>
        <v>0</v>
      </c>
    </row>
    <row r="40" spans="1:32" ht="22.2" thickTop="1" thickBot="1">
      <c r="A40" s="35"/>
      <c r="B40" s="41" t="s">
        <v>64</v>
      </c>
      <c r="C40" s="28"/>
      <c r="D40" s="28"/>
      <c r="E40" s="28"/>
      <c r="AA40">
        <f t="shared" si="8"/>
        <v>0</v>
      </c>
      <c r="AB40">
        <f t="shared" si="9"/>
        <v>0</v>
      </c>
      <c r="AC40">
        <f t="shared" si="10"/>
        <v>0</v>
      </c>
      <c r="AD40">
        <f t="shared" si="11"/>
        <v>0</v>
      </c>
    </row>
    <row r="41" spans="1:32" ht="43.2" thickTop="1" thickBot="1">
      <c r="A41" s="26" t="s">
        <v>65</v>
      </c>
      <c r="B41" s="34" t="s">
        <v>66</v>
      </c>
      <c r="C41" s="28"/>
      <c r="D41" s="28"/>
      <c r="E41" s="28"/>
      <c r="AA41">
        <f t="shared" si="8"/>
        <v>0</v>
      </c>
      <c r="AB41">
        <f t="shared" si="9"/>
        <v>0</v>
      </c>
      <c r="AC41">
        <f t="shared" si="10"/>
        <v>0</v>
      </c>
      <c r="AD41">
        <f t="shared" si="11"/>
        <v>0</v>
      </c>
    </row>
    <row r="42" spans="1:32" ht="22.2" thickTop="1" thickBot="1">
      <c r="A42" s="26" t="s">
        <v>67</v>
      </c>
      <c r="B42" s="34" t="s">
        <v>68</v>
      </c>
      <c r="C42" s="28"/>
      <c r="D42" s="28"/>
      <c r="E42" s="28"/>
      <c r="AA42">
        <f t="shared" si="8"/>
        <v>0</v>
      </c>
      <c r="AB42">
        <f t="shared" si="9"/>
        <v>0</v>
      </c>
      <c r="AC42">
        <f t="shared" si="10"/>
        <v>0</v>
      </c>
      <c r="AD42">
        <f t="shared" si="11"/>
        <v>0</v>
      </c>
    </row>
    <row r="43" spans="1:32" ht="22.2" thickTop="1" thickBot="1">
      <c r="A43" s="26" t="s">
        <v>69</v>
      </c>
      <c r="B43" s="34" t="s">
        <v>70</v>
      </c>
      <c r="C43" s="28"/>
      <c r="D43" s="28"/>
      <c r="E43" s="28"/>
      <c r="AA43">
        <f t="shared" si="8"/>
        <v>0</v>
      </c>
      <c r="AB43">
        <f t="shared" si="9"/>
        <v>0</v>
      </c>
      <c r="AC43">
        <f t="shared" si="10"/>
        <v>0</v>
      </c>
      <c r="AD43">
        <f t="shared" si="11"/>
        <v>0</v>
      </c>
    </row>
    <row r="44" spans="1:32" ht="22.2" thickTop="1" thickBot="1">
      <c r="A44" s="26" t="s">
        <v>71</v>
      </c>
      <c r="B44" s="34" t="s">
        <v>72</v>
      </c>
      <c r="C44" s="28"/>
      <c r="D44" s="28"/>
      <c r="E44" s="28"/>
      <c r="AA44">
        <f t="shared" si="8"/>
        <v>0</v>
      </c>
      <c r="AB44">
        <f t="shared" si="9"/>
        <v>0</v>
      </c>
      <c r="AC44">
        <f t="shared" si="10"/>
        <v>0</v>
      </c>
      <c r="AD44">
        <f t="shared" si="11"/>
        <v>0</v>
      </c>
    </row>
    <row r="45" spans="1:32" ht="39.75" customHeight="1" thickTop="1" thickBot="1">
      <c r="A45" s="26" t="s">
        <v>73</v>
      </c>
      <c r="B45" s="30" t="s">
        <v>74</v>
      </c>
      <c r="C45" s="31"/>
      <c r="D45" s="31"/>
      <c r="E45" s="31"/>
      <c r="AA45">
        <f t="shared" si="8"/>
        <v>0</v>
      </c>
      <c r="AB45">
        <f t="shared" si="9"/>
        <v>0</v>
      </c>
      <c r="AC45">
        <f t="shared" si="10"/>
        <v>0</v>
      </c>
      <c r="AD45">
        <f t="shared" si="11"/>
        <v>0</v>
      </c>
    </row>
    <row r="46" spans="1:32" ht="72.75" customHeight="1" thickTop="1" thickBot="1">
      <c r="A46" s="32" t="s">
        <v>75</v>
      </c>
      <c r="B46" s="42" t="s">
        <v>76</v>
      </c>
      <c r="C46" s="23" t="s">
        <v>77</v>
      </c>
      <c r="D46" s="24"/>
      <c r="E46" s="25" t="str">
        <f>"Quotation: "&amp;ROUND((AE46/AF46)*100,2)&amp;"%"</f>
        <v>Quotation: 0%</v>
      </c>
      <c r="AE46">
        <f>SUM(AA47:AA55)+SUM(AB47:AB55)*0.5</f>
        <v>0</v>
      </c>
      <c r="AF46">
        <f>COUNT(AA47:AA55)-SUM(AD47:AD55)</f>
        <v>9</v>
      </c>
    </row>
    <row r="47" spans="1:32" ht="43.2" thickTop="1" thickBot="1">
      <c r="A47" s="26" t="s">
        <v>78</v>
      </c>
      <c r="B47" s="34" t="s">
        <v>79</v>
      </c>
      <c r="C47" s="28"/>
      <c r="D47" s="28"/>
      <c r="E47" s="28"/>
      <c r="AA47">
        <f t="shared" ref="AA47:AA55" si="12">IF(C47="Met",1,0)</f>
        <v>0</v>
      </c>
      <c r="AB47">
        <f t="shared" ref="AB47:AB55" si="13">IF(C47="Partially Met",1,0)</f>
        <v>0</v>
      </c>
      <c r="AC47">
        <f t="shared" ref="AC47:AC55" si="14">IF(C47="UnMet",1,0)</f>
        <v>0</v>
      </c>
      <c r="AD47">
        <f t="shared" ref="AD47:AD55" si="15">IF(C47="Not Applicable",1,0)</f>
        <v>0</v>
      </c>
    </row>
    <row r="48" spans="1:32" ht="32.25" customHeight="1" thickTop="1" thickBot="1">
      <c r="A48" s="26" t="s">
        <v>80</v>
      </c>
      <c r="B48" s="34" t="s">
        <v>81</v>
      </c>
      <c r="C48" s="28"/>
      <c r="D48" s="28"/>
      <c r="E48" s="28"/>
      <c r="AA48">
        <f t="shared" si="12"/>
        <v>0</v>
      </c>
      <c r="AB48">
        <f t="shared" si="13"/>
        <v>0</v>
      </c>
      <c r="AC48">
        <f t="shared" si="14"/>
        <v>0</v>
      </c>
      <c r="AD48">
        <f t="shared" si="15"/>
        <v>0</v>
      </c>
    </row>
    <row r="49" spans="1:32" ht="64.2" thickTop="1" thickBot="1">
      <c r="A49" s="26" t="s">
        <v>82</v>
      </c>
      <c r="B49" s="34" t="s">
        <v>83</v>
      </c>
      <c r="C49" s="28"/>
      <c r="D49" s="28"/>
      <c r="E49" s="28"/>
      <c r="AA49">
        <f t="shared" si="12"/>
        <v>0</v>
      </c>
      <c r="AB49">
        <f t="shared" si="13"/>
        <v>0</v>
      </c>
      <c r="AC49">
        <f t="shared" si="14"/>
        <v>0</v>
      </c>
      <c r="AD49">
        <f t="shared" si="15"/>
        <v>0</v>
      </c>
    </row>
    <row r="50" spans="1:32" ht="43.2" thickTop="1" thickBot="1">
      <c r="A50" s="26" t="s">
        <v>84</v>
      </c>
      <c r="B50" s="34" t="s">
        <v>85</v>
      </c>
      <c r="C50" s="28"/>
      <c r="D50" s="28"/>
      <c r="E50" s="28"/>
      <c r="AA50">
        <f t="shared" si="12"/>
        <v>0</v>
      </c>
      <c r="AB50">
        <f t="shared" si="13"/>
        <v>0</v>
      </c>
      <c r="AC50">
        <f t="shared" si="14"/>
        <v>0</v>
      </c>
      <c r="AD50">
        <f t="shared" si="15"/>
        <v>0</v>
      </c>
    </row>
    <row r="51" spans="1:32" ht="22.2" thickTop="1" thickBot="1">
      <c r="A51" s="26" t="s">
        <v>86</v>
      </c>
      <c r="B51" s="34" t="s">
        <v>87</v>
      </c>
      <c r="C51" s="28"/>
      <c r="D51" s="28"/>
      <c r="E51" s="28"/>
      <c r="AA51">
        <f t="shared" si="12"/>
        <v>0</v>
      </c>
      <c r="AB51">
        <f t="shared" si="13"/>
        <v>0</v>
      </c>
      <c r="AC51">
        <f t="shared" si="14"/>
        <v>0</v>
      </c>
      <c r="AD51">
        <f t="shared" si="15"/>
        <v>0</v>
      </c>
    </row>
    <row r="52" spans="1:32" ht="43.2" thickTop="1" thickBot="1">
      <c r="A52" s="26" t="s">
        <v>88</v>
      </c>
      <c r="B52" s="34" t="s">
        <v>89</v>
      </c>
      <c r="C52" s="28"/>
      <c r="D52" s="28"/>
      <c r="E52" s="28"/>
      <c r="AA52">
        <f t="shared" si="12"/>
        <v>0</v>
      </c>
      <c r="AB52">
        <f t="shared" si="13"/>
        <v>0</v>
      </c>
      <c r="AC52">
        <f t="shared" si="14"/>
        <v>0</v>
      </c>
      <c r="AD52">
        <f t="shared" si="15"/>
        <v>0</v>
      </c>
    </row>
    <row r="53" spans="1:32" ht="43.2" thickTop="1" thickBot="1">
      <c r="A53" s="26" t="s">
        <v>90</v>
      </c>
      <c r="B53" s="34" t="s">
        <v>91</v>
      </c>
      <c r="C53" s="28"/>
      <c r="D53" s="28"/>
      <c r="E53" s="28"/>
      <c r="AA53">
        <f t="shared" si="12"/>
        <v>0</v>
      </c>
      <c r="AB53">
        <f t="shared" si="13"/>
        <v>0</v>
      </c>
      <c r="AC53">
        <f t="shared" si="14"/>
        <v>0</v>
      </c>
      <c r="AD53">
        <f t="shared" si="15"/>
        <v>0</v>
      </c>
    </row>
    <row r="54" spans="1:32" ht="43.2" thickTop="1" thickBot="1">
      <c r="A54" s="26" t="s">
        <v>92</v>
      </c>
      <c r="B54" s="34" t="s">
        <v>93</v>
      </c>
      <c r="C54" s="28"/>
      <c r="D54" s="28"/>
      <c r="E54" s="28"/>
      <c r="AA54">
        <f t="shared" si="12"/>
        <v>0</v>
      </c>
      <c r="AB54">
        <f t="shared" si="13"/>
        <v>0</v>
      </c>
      <c r="AC54">
        <f t="shared" si="14"/>
        <v>0</v>
      </c>
      <c r="AD54">
        <f t="shared" si="15"/>
        <v>0</v>
      </c>
    </row>
    <row r="55" spans="1:32" ht="43.2" thickTop="1" thickBot="1">
      <c r="A55" s="26" t="s">
        <v>94</v>
      </c>
      <c r="B55" s="34" t="s">
        <v>95</v>
      </c>
      <c r="C55" s="28"/>
      <c r="D55" s="28"/>
      <c r="E55" s="28"/>
      <c r="AA55">
        <f t="shared" si="12"/>
        <v>0</v>
      </c>
      <c r="AB55">
        <f t="shared" si="13"/>
        <v>0</v>
      </c>
      <c r="AC55">
        <f t="shared" si="14"/>
        <v>0</v>
      </c>
      <c r="AD55">
        <f t="shared" si="15"/>
        <v>0</v>
      </c>
    </row>
    <row r="56" spans="1:32" ht="69.75" customHeight="1" thickTop="1" thickBot="1">
      <c r="A56" s="43" t="s">
        <v>96</v>
      </c>
      <c r="B56" s="44" t="s">
        <v>97</v>
      </c>
      <c r="C56" s="23" t="s">
        <v>98</v>
      </c>
      <c r="D56" s="24"/>
      <c r="E56" s="25" t="str">
        <f>"Quotation: "&amp;ROUND((AE56/AF56)*100,2)&amp;"%"</f>
        <v>Quotation: 0%</v>
      </c>
      <c r="AE56">
        <f>SUM(AA57:AA72)+SUM(AB57:AB72)*0.5</f>
        <v>0</v>
      </c>
      <c r="AF56">
        <f>COUNT(AA57:AA72)-SUM(AD57:AD72)</f>
        <v>15</v>
      </c>
    </row>
    <row r="57" spans="1:32" ht="43.2" thickTop="1" thickBot="1">
      <c r="A57" s="26" t="s">
        <v>99</v>
      </c>
      <c r="B57" s="45" t="s">
        <v>100</v>
      </c>
      <c r="C57" s="28"/>
      <c r="D57" s="28"/>
      <c r="E57" s="28"/>
      <c r="AA57">
        <f>IF(C57="Met",1,0)</f>
        <v>0</v>
      </c>
      <c r="AB57">
        <f>IF(C57="Partially Met",1,0)</f>
        <v>0</v>
      </c>
      <c r="AC57">
        <f>IF(C57="UnMet",1,0)</f>
        <v>0</v>
      </c>
      <c r="AD57">
        <f>IF(C57="Not Applicable",1,0)</f>
        <v>0</v>
      </c>
    </row>
    <row r="58" spans="1:32" ht="43.2" thickTop="1" thickBot="1">
      <c r="A58" s="35" t="s">
        <v>101</v>
      </c>
      <c r="B58" s="46" t="s">
        <v>102</v>
      </c>
      <c r="C58" s="37"/>
      <c r="D58" s="38"/>
      <c r="E58" s="39"/>
    </row>
    <row r="59" spans="1:32" ht="22.2" thickTop="1" thickBot="1">
      <c r="A59" s="35"/>
      <c r="B59" s="41" t="s">
        <v>103</v>
      </c>
      <c r="C59" s="28"/>
      <c r="D59" s="28"/>
      <c r="E59" s="28"/>
      <c r="AA59">
        <f t="shared" ref="AA59:AA72" si="16">IF(C59="Met",1,0)</f>
        <v>0</v>
      </c>
      <c r="AB59">
        <f t="shared" ref="AB59:AB72" si="17">IF(C59="Partially Met",1,0)</f>
        <v>0</v>
      </c>
      <c r="AC59">
        <f t="shared" ref="AC59:AC72" si="18">IF(C59="UnMet",1,0)</f>
        <v>0</v>
      </c>
      <c r="AD59">
        <f t="shared" ref="AD59:AD72" si="19">IF(C59="Not Applicable",1,0)</f>
        <v>0</v>
      </c>
    </row>
    <row r="60" spans="1:32" ht="22.2" thickTop="1" thickBot="1">
      <c r="A60" s="35"/>
      <c r="B60" s="41" t="s">
        <v>104</v>
      </c>
      <c r="C60" s="28"/>
      <c r="D60" s="28"/>
      <c r="E60" s="28"/>
      <c r="AA60">
        <f t="shared" si="16"/>
        <v>0</v>
      </c>
      <c r="AB60">
        <f t="shared" si="17"/>
        <v>0</v>
      </c>
      <c r="AC60">
        <f t="shared" si="18"/>
        <v>0</v>
      </c>
      <c r="AD60">
        <f t="shared" si="19"/>
        <v>0</v>
      </c>
    </row>
    <row r="61" spans="1:32" ht="22.2" thickTop="1" thickBot="1">
      <c r="A61" s="35"/>
      <c r="B61" s="41" t="s">
        <v>105</v>
      </c>
      <c r="C61" s="28"/>
      <c r="D61" s="28"/>
      <c r="E61" s="28"/>
      <c r="AA61">
        <f t="shared" si="16"/>
        <v>0</v>
      </c>
      <c r="AB61">
        <f t="shared" si="17"/>
        <v>0</v>
      </c>
      <c r="AC61">
        <f t="shared" si="18"/>
        <v>0</v>
      </c>
      <c r="AD61">
        <f t="shared" si="19"/>
        <v>0</v>
      </c>
    </row>
    <row r="62" spans="1:32" ht="22.2" thickTop="1" thickBot="1">
      <c r="A62" s="35"/>
      <c r="B62" s="41" t="s">
        <v>106</v>
      </c>
      <c r="C62" s="28"/>
      <c r="D62" s="28"/>
      <c r="E62" s="28"/>
      <c r="AA62">
        <f t="shared" si="16"/>
        <v>0</v>
      </c>
      <c r="AB62">
        <f t="shared" si="17"/>
        <v>0</v>
      </c>
      <c r="AC62">
        <f t="shared" si="18"/>
        <v>0</v>
      </c>
      <c r="AD62">
        <f t="shared" si="19"/>
        <v>0</v>
      </c>
    </row>
    <row r="63" spans="1:32" ht="22.2" thickTop="1" thickBot="1">
      <c r="A63" s="35"/>
      <c r="B63" s="41" t="s">
        <v>107</v>
      </c>
      <c r="C63" s="28"/>
      <c r="D63" s="28"/>
      <c r="E63" s="28"/>
      <c r="AA63">
        <f t="shared" si="16"/>
        <v>0</v>
      </c>
      <c r="AB63">
        <f t="shared" si="17"/>
        <v>0</v>
      </c>
      <c r="AC63">
        <f t="shared" si="18"/>
        <v>0</v>
      </c>
      <c r="AD63">
        <f t="shared" si="19"/>
        <v>0</v>
      </c>
    </row>
    <row r="64" spans="1:32" ht="22.2" thickTop="1" thickBot="1">
      <c r="A64" s="35"/>
      <c r="B64" s="41" t="s">
        <v>108</v>
      </c>
      <c r="C64" s="28"/>
      <c r="D64" s="28"/>
      <c r="E64" s="28"/>
      <c r="AA64">
        <f t="shared" si="16"/>
        <v>0</v>
      </c>
      <c r="AB64">
        <f t="shared" si="17"/>
        <v>0</v>
      </c>
      <c r="AC64">
        <f t="shared" si="18"/>
        <v>0</v>
      </c>
      <c r="AD64">
        <f t="shared" si="19"/>
        <v>0</v>
      </c>
    </row>
    <row r="65" spans="1:32" ht="22.2" thickTop="1" thickBot="1">
      <c r="A65" s="35"/>
      <c r="B65" s="41" t="s">
        <v>109</v>
      </c>
      <c r="C65" s="28"/>
      <c r="D65" s="28"/>
      <c r="E65" s="28"/>
      <c r="AA65">
        <f t="shared" si="16"/>
        <v>0</v>
      </c>
      <c r="AB65">
        <f t="shared" si="17"/>
        <v>0</v>
      </c>
      <c r="AC65">
        <f t="shared" si="18"/>
        <v>0</v>
      </c>
      <c r="AD65">
        <f t="shared" si="19"/>
        <v>0</v>
      </c>
    </row>
    <row r="66" spans="1:32" ht="43.2" thickTop="1" thickBot="1">
      <c r="A66" s="35"/>
      <c r="B66" s="41" t="s">
        <v>110</v>
      </c>
      <c r="C66" s="28"/>
      <c r="D66" s="28"/>
      <c r="E66" s="28"/>
      <c r="AA66">
        <f t="shared" si="16"/>
        <v>0</v>
      </c>
      <c r="AB66">
        <f t="shared" si="17"/>
        <v>0</v>
      </c>
      <c r="AC66">
        <f t="shared" si="18"/>
        <v>0</v>
      </c>
      <c r="AD66">
        <f t="shared" si="19"/>
        <v>0</v>
      </c>
    </row>
    <row r="67" spans="1:32" ht="21.75" customHeight="1" thickTop="1" thickBot="1">
      <c r="A67" s="35"/>
      <c r="B67" s="41" t="s">
        <v>111</v>
      </c>
      <c r="C67" s="28"/>
      <c r="D67" s="28"/>
      <c r="E67" s="28"/>
      <c r="AA67">
        <f t="shared" si="16"/>
        <v>0</v>
      </c>
      <c r="AB67">
        <f t="shared" si="17"/>
        <v>0</v>
      </c>
      <c r="AC67">
        <f t="shared" si="18"/>
        <v>0</v>
      </c>
      <c r="AD67">
        <f t="shared" si="19"/>
        <v>0</v>
      </c>
    </row>
    <row r="68" spans="1:32" ht="22.2" thickTop="1" thickBot="1">
      <c r="A68" s="35"/>
      <c r="B68" s="41" t="s">
        <v>112</v>
      </c>
      <c r="C68" s="28"/>
      <c r="D68" s="28"/>
      <c r="E68" s="28"/>
      <c r="AA68">
        <f t="shared" si="16"/>
        <v>0</v>
      </c>
      <c r="AB68">
        <f t="shared" si="17"/>
        <v>0</v>
      </c>
      <c r="AC68">
        <f t="shared" si="18"/>
        <v>0</v>
      </c>
      <c r="AD68">
        <f t="shared" si="19"/>
        <v>0</v>
      </c>
    </row>
    <row r="69" spans="1:32" ht="43.2" thickTop="1" thickBot="1">
      <c r="A69" s="26" t="s">
        <v>113</v>
      </c>
      <c r="B69" s="27" t="s">
        <v>114</v>
      </c>
      <c r="C69" s="28"/>
      <c r="D69" s="28"/>
      <c r="E69" s="28"/>
      <c r="AA69">
        <f t="shared" si="16"/>
        <v>0</v>
      </c>
      <c r="AB69">
        <f t="shared" si="17"/>
        <v>0</v>
      </c>
      <c r="AC69">
        <f t="shared" si="18"/>
        <v>0</v>
      </c>
      <c r="AD69">
        <f t="shared" si="19"/>
        <v>0</v>
      </c>
    </row>
    <row r="70" spans="1:32" ht="43.2" thickTop="1" thickBot="1">
      <c r="A70" s="26" t="s">
        <v>115</v>
      </c>
      <c r="B70" s="27" t="s">
        <v>116</v>
      </c>
      <c r="C70" s="28"/>
      <c r="D70" s="28"/>
      <c r="E70" s="28"/>
      <c r="AA70">
        <f t="shared" si="16"/>
        <v>0</v>
      </c>
      <c r="AB70">
        <f t="shared" si="17"/>
        <v>0</v>
      </c>
      <c r="AC70">
        <f t="shared" si="18"/>
        <v>0</v>
      </c>
      <c r="AD70">
        <f t="shared" si="19"/>
        <v>0</v>
      </c>
    </row>
    <row r="71" spans="1:32" ht="22.5" customHeight="1" thickTop="1" thickBot="1">
      <c r="A71" s="29" t="s">
        <v>117</v>
      </c>
      <c r="B71" s="30" t="s">
        <v>118</v>
      </c>
      <c r="C71" s="47"/>
      <c r="D71" s="47"/>
      <c r="E71" s="47"/>
      <c r="AA71">
        <f t="shared" si="16"/>
        <v>0</v>
      </c>
      <c r="AB71">
        <f t="shared" si="17"/>
        <v>0</v>
      </c>
      <c r="AC71">
        <f t="shared" si="18"/>
        <v>0</v>
      </c>
      <c r="AD71">
        <f t="shared" si="19"/>
        <v>0</v>
      </c>
    </row>
    <row r="72" spans="1:32" ht="43.2" thickTop="1" thickBot="1">
      <c r="A72" s="26" t="s">
        <v>119</v>
      </c>
      <c r="B72" s="27" t="s">
        <v>120</v>
      </c>
      <c r="C72" s="28"/>
      <c r="D72" s="28"/>
      <c r="E72" s="28"/>
      <c r="AA72">
        <f t="shared" si="16"/>
        <v>0</v>
      </c>
      <c r="AB72">
        <f t="shared" si="17"/>
        <v>0</v>
      </c>
      <c r="AC72">
        <f t="shared" si="18"/>
        <v>0</v>
      </c>
      <c r="AD72">
        <f t="shared" si="19"/>
        <v>0</v>
      </c>
    </row>
    <row r="73" spans="1:32" ht="77.25" customHeight="1" thickTop="1" thickBot="1">
      <c r="A73" s="32" t="s">
        <v>121</v>
      </c>
      <c r="B73" s="33" t="s">
        <v>122</v>
      </c>
      <c r="C73" s="23" t="s">
        <v>77</v>
      </c>
      <c r="D73" s="24"/>
      <c r="E73" s="25" t="str">
        <f>"Quotation: "&amp;ROUND((AE73/AF73)*100,2)&amp;"%"</f>
        <v>Quotation: 0%</v>
      </c>
      <c r="AE73">
        <f>SUM(AA74:AA82)+SUM(AB74:AB82)*0.5</f>
        <v>0</v>
      </c>
      <c r="AF73">
        <f>COUNT(AA74:AA82)-SUM(AD74:AD82)</f>
        <v>9</v>
      </c>
    </row>
    <row r="74" spans="1:32" ht="106.2" thickTop="1" thickBot="1">
      <c r="A74" s="48" t="s">
        <v>123</v>
      </c>
      <c r="B74" s="27" t="s">
        <v>124</v>
      </c>
      <c r="C74" s="28"/>
      <c r="D74" s="28"/>
      <c r="E74" s="28"/>
      <c r="AA74">
        <f t="shared" ref="AA74:AA82" si="20">IF(C74="Met",1,0)</f>
        <v>0</v>
      </c>
      <c r="AB74">
        <f t="shared" ref="AB74:AB82" si="21">IF(C74="Partially Met",1,0)</f>
        <v>0</v>
      </c>
      <c r="AC74">
        <f t="shared" ref="AC74:AC82" si="22">IF(C74="UnMet",1,0)</f>
        <v>0</v>
      </c>
      <c r="AD74">
        <f t="shared" ref="AD74:AD82" si="23">IF(C74="Not Applicable",1,0)</f>
        <v>0</v>
      </c>
    </row>
    <row r="75" spans="1:32" ht="43.2" thickTop="1" thickBot="1">
      <c r="A75" s="26" t="s">
        <v>125</v>
      </c>
      <c r="B75" s="27" t="s">
        <v>126</v>
      </c>
      <c r="C75" s="28"/>
      <c r="D75" s="28"/>
      <c r="E75" s="28"/>
      <c r="AA75">
        <f t="shared" si="20"/>
        <v>0</v>
      </c>
      <c r="AB75">
        <f t="shared" si="21"/>
        <v>0</v>
      </c>
      <c r="AC75">
        <f t="shared" si="22"/>
        <v>0</v>
      </c>
      <c r="AD75">
        <f t="shared" si="23"/>
        <v>0</v>
      </c>
    </row>
    <row r="76" spans="1:32" ht="64.2" thickTop="1" thickBot="1">
      <c r="A76" s="26" t="s">
        <v>127</v>
      </c>
      <c r="B76" s="27" t="s">
        <v>128</v>
      </c>
      <c r="C76" s="28"/>
      <c r="D76" s="28"/>
      <c r="E76" s="28"/>
      <c r="AA76">
        <f t="shared" si="20"/>
        <v>0</v>
      </c>
      <c r="AB76">
        <f t="shared" si="21"/>
        <v>0</v>
      </c>
      <c r="AC76">
        <f t="shared" si="22"/>
        <v>0</v>
      </c>
      <c r="AD76">
        <f t="shared" si="23"/>
        <v>0</v>
      </c>
    </row>
    <row r="77" spans="1:32" ht="22.2" thickTop="1" thickBot="1">
      <c r="A77" s="26" t="s">
        <v>129</v>
      </c>
      <c r="B77" s="27" t="s">
        <v>130</v>
      </c>
      <c r="C77" s="28"/>
      <c r="D77" s="28"/>
      <c r="E77" s="28"/>
      <c r="AA77">
        <f t="shared" si="20"/>
        <v>0</v>
      </c>
      <c r="AB77">
        <f t="shared" si="21"/>
        <v>0</v>
      </c>
      <c r="AC77">
        <f t="shared" si="22"/>
        <v>0</v>
      </c>
      <c r="AD77">
        <f t="shared" si="23"/>
        <v>0</v>
      </c>
    </row>
    <row r="78" spans="1:32" ht="43.2" thickTop="1" thickBot="1">
      <c r="A78" s="26" t="s">
        <v>131</v>
      </c>
      <c r="B78" s="27" t="s">
        <v>132</v>
      </c>
      <c r="C78" s="28"/>
      <c r="D78" s="28"/>
      <c r="E78" s="28"/>
      <c r="AA78">
        <f t="shared" si="20"/>
        <v>0</v>
      </c>
      <c r="AB78">
        <f t="shared" si="21"/>
        <v>0</v>
      </c>
      <c r="AC78">
        <f t="shared" si="22"/>
        <v>0</v>
      </c>
      <c r="AD78">
        <f t="shared" si="23"/>
        <v>0</v>
      </c>
    </row>
    <row r="79" spans="1:32" ht="22.2" thickTop="1" thickBot="1">
      <c r="A79" s="26" t="s">
        <v>133</v>
      </c>
      <c r="B79" s="27" t="s">
        <v>134</v>
      </c>
      <c r="C79" s="28"/>
      <c r="D79" s="28"/>
      <c r="E79" s="28"/>
      <c r="AA79">
        <f t="shared" si="20"/>
        <v>0</v>
      </c>
      <c r="AB79">
        <f t="shared" si="21"/>
        <v>0</v>
      </c>
      <c r="AC79">
        <f t="shared" si="22"/>
        <v>0</v>
      </c>
      <c r="AD79">
        <f t="shared" si="23"/>
        <v>0</v>
      </c>
    </row>
    <row r="80" spans="1:32" ht="43.2" thickTop="1" thickBot="1">
      <c r="A80" s="26" t="s">
        <v>135</v>
      </c>
      <c r="B80" s="27" t="s">
        <v>136</v>
      </c>
      <c r="C80" s="28"/>
      <c r="D80" s="28"/>
      <c r="E80" s="28"/>
      <c r="AA80">
        <f t="shared" si="20"/>
        <v>0</v>
      </c>
      <c r="AB80">
        <f t="shared" si="21"/>
        <v>0</v>
      </c>
      <c r="AC80">
        <f t="shared" si="22"/>
        <v>0</v>
      </c>
      <c r="AD80">
        <f t="shared" si="23"/>
        <v>0</v>
      </c>
    </row>
    <row r="81" spans="1:30" ht="43.2" thickTop="1" thickBot="1">
      <c r="A81" s="26" t="s">
        <v>137</v>
      </c>
      <c r="B81" s="27" t="s">
        <v>138</v>
      </c>
      <c r="C81" s="28"/>
      <c r="D81" s="28"/>
      <c r="E81" s="28"/>
      <c r="AA81">
        <f t="shared" si="20"/>
        <v>0</v>
      </c>
      <c r="AB81">
        <f t="shared" si="21"/>
        <v>0</v>
      </c>
      <c r="AC81">
        <f t="shared" si="22"/>
        <v>0</v>
      </c>
      <c r="AD81">
        <f t="shared" si="23"/>
        <v>0</v>
      </c>
    </row>
    <row r="82" spans="1:30" ht="43.2" thickTop="1" thickBot="1">
      <c r="A82" s="26" t="s">
        <v>139</v>
      </c>
      <c r="B82" s="27" t="s">
        <v>140</v>
      </c>
      <c r="C82" s="28"/>
      <c r="D82" s="28"/>
      <c r="E82" s="28"/>
      <c r="AA82">
        <f t="shared" si="20"/>
        <v>0</v>
      </c>
      <c r="AB82">
        <f t="shared" si="21"/>
        <v>0</v>
      </c>
      <c r="AC82">
        <f t="shared" si="22"/>
        <v>0</v>
      </c>
      <c r="AD82">
        <f t="shared" si="23"/>
        <v>0</v>
      </c>
    </row>
    <row r="83" spans="1:30" ht="46.5" customHeight="1" thickTop="1">
      <c r="B83"/>
    </row>
    <row r="84" spans="1:30" ht="34.5" customHeight="1">
      <c r="B84"/>
    </row>
    <row r="85" spans="1:30" ht="64.5" customHeight="1">
      <c r="B85"/>
    </row>
    <row r="86" spans="1:30" ht="49.5" customHeight="1">
      <c r="B86"/>
    </row>
    <row r="87" spans="1:30" ht="15.6">
      <c r="B87"/>
    </row>
    <row r="88" spans="1:30" ht="15.6">
      <c r="B88"/>
    </row>
    <row r="89" spans="1:30" ht="15.6">
      <c r="B89"/>
    </row>
    <row r="90" spans="1:30" ht="57" customHeight="1">
      <c r="B90"/>
    </row>
    <row r="91" spans="1:30" ht="15.6">
      <c r="B91"/>
    </row>
    <row r="92" spans="1:30" ht="48.75" customHeight="1">
      <c r="B92"/>
    </row>
    <row r="93" spans="1:30" ht="42.75" customHeight="1">
      <c r="B93"/>
    </row>
    <row r="94" spans="1:30" ht="15.6">
      <c r="B94"/>
    </row>
    <row r="95" spans="1:30" ht="15.6">
      <c r="B95"/>
    </row>
    <row r="96" spans="1:30" ht="15.6">
      <c r="B96"/>
    </row>
    <row r="97" spans="2:2" ht="79.5" customHeight="1">
      <c r="B97"/>
    </row>
    <row r="98" spans="2:2" s="49" customFormat="1" ht="45.75" customHeight="1"/>
    <row r="99" spans="2:2" ht="15.6">
      <c r="B99"/>
    </row>
    <row r="100" spans="2:2" ht="15.6">
      <c r="B100"/>
    </row>
    <row r="101" spans="2:2" ht="15.6">
      <c r="B101"/>
    </row>
    <row r="102" spans="2:2" ht="15.6">
      <c r="B102"/>
    </row>
    <row r="103" spans="2:2" ht="15.6">
      <c r="B103"/>
    </row>
    <row r="104" spans="2:2" ht="15.6">
      <c r="B104"/>
    </row>
    <row r="105" spans="2:2" ht="15.6">
      <c r="B105"/>
    </row>
    <row r="106" spans="2:2" ht="15.6">
      <c r="B106"/>
    </row>
    <row r="107" spans="2:2" ht="15.6">
      <c r="B107"/>
    </row>
    <row r="108" spans="2:2" ht="15.6">
      <c r="B108"/>
    </row>
    <row r="109" spans="2:2" ht="15.6">
      <c r="B109"/>
    </row>
    <row r="110" spans="2:2" ht="15.6">
      <c r="B110"/>
    </row>
    <row r="111" spans="2:2" ht="15.6">
      <c r="B111"/>
    </row>
    <row r="112" spans="2:2" ht="15.6">
      <c r="B112"/>
    </row>
    <row r="113" spans="2:2" ht="15.6">
      <c r="B113"/>
    </row>
    <row r="114" spans="2:2" ht="52.5" customHeight="1">
      <c r="B114"/>
    </row>
    <row r="115" spans="2:2" ht="49.5" customHeight="1">
      <c r="B115"/>
    </row>
    <row r="116" spans="2:2" ht="31.5" customHeight="1">
      <c r="B116"/>
    </row>
    <row r="117" spans="2:2" ht="40.5" customHeight="1">
      <c r="B117"/>
    </row>
    <row r="118" spans="2:2" ht="15.6">
      <c r="B118"/>
    </row>
    <row r="119" spans="2:2" ht="15.6">
      <c r="B119"/>
    </row>
    <row r="120" spans="2:2" ht="15.6">
      <c r="B120"/>
    </row>
    <row r="121" spans="2:2" ht="15.6">
      <c r="B121"/>
    </row>
    <row r="122" spans="2:2" ht="15.6">
      <c r="B122"/>
    </row>
    <row r="123" spans="2:2" ht="15.6">
      <c r="B123"/>
    </row>
    <row r="124" spans="2:2" ht="15.6">
      <c r="B124"/>
    </row>
    <row r="125" spans="2:2" ht="36" customHeight="1">
      <c r="B125"/>
    </row>
    <row r="126" spans="2:2" ht="28.5" customHeight="1">
      <c r="B126"/>
    </row>
    <row r="127" spans="2:2" ht="15.6">
      <c r="B127"/>
    </row>
    <row r="128" spans="2:2" ht="15.6">
      <c r="B128"/>
    </row>
    <row r="129" spans="2:2" ht="15.6">
      <c r="B129"/>
    </row>
    <row r="130" spans="2:2" ht="15.6">
      <c r="B130"/>
    </row>
    <row r="131" spans="2:2" ht="15.6">
      <c r="B131"/>
    </row>
    <row r="132" spans="2:2" ht="15.6">
      <c r="B132"/>
    </row>
    <row r="133" spans="2:2" ht="15.6">
      <c r="B133"/>
    </row>
    <row r="134" spans="2:2" ht="15.6">
      <c r="B134"/>
    </row>
    <row r="135" spans="2:2" ht="15.6">
      <c r="B135"/>
    </row>
    <row r="136" spans="2:2" ht="15.6">
      <c r="B136"/>
    </row>
    <row r="137" spans="2:2" ht="15.6">
      <c r="B137"/>
    </row>
    <row r="138" spans="2:2" ht="15.6">
      <c r="B138"/>
    </row>
    <row r="139" spans="2:2" ht="15.6">
      <c r="B139"/>
    </row>
    <row r="140" spans="2:2" ht="15.6">
      <c r="B140"/>
    </row>
    <row r="141" spans="2:2" ht="15.6">
      <c r="B141"/>
    </row>
    <row r="142" spans="2:2" ht="15.6">
      <c r="B142"/>
    </row>
    <row r="143" spans="2:2" ht="15.6">
      <c r="B143"/>
    </row>
    <row r="144" spans="2:2" ht="15.6">
      <c r="B144"/>
    </row>
    <row r="145" spans="2:2" ht="54" customHeight="1">
      <c r="B145"/>
    </row>
    <row r="146" spans="2:2" ht="34.5" customHeight="1">
      <c r="B146"/>
    </row>
    <row r="147" spans="2:2" ht="15.6">
      <c r="B147"/>
    </row>
    <row r="148" spans="2:2" ht="15.6">
      <c r="B148"/>
    </row>
    <row r="149" spans="2:2" ht="15.6">
      <c r="B149"/>
    </row>
    <row r="150" spans="2:2" ht="15.6">
      <c r="B150"/>
    </row>
    <row r="151" spans="2:2" ht="15.6">
      <c r="B151"/>
    </row>
    <row r="152" spans="2:2" ht="15.6">
      <c r="B152"/>
    </row>
    <row r="153" spans="2:2" ht="15.6">
      <c r="B153"/>
    </row>
    <row r="154" spans="2:2" ht="15.6">
      <c r="B154"/>
    </row>
    <row r="155" spans="2:2" ht="15.6">
      <c r="B155"/>
    </row>
    <row r="156" spans="2:2" ht="15.6">
      <c r="B156"/>
    </row>
    <row r="157" spans="2:2" ht="15.6">
      <c r="B157"/>
    </row>
    <row r="158" spans="2:2" ht="15.6">
      <c r="B158"/>
    </row>
    <row r="159" spans="2:2" ht="27.75" customHeight="1">
      <c r="B159"/>
    </row>
    <row r="160" spans="2:2" ht="27.75" customHeight="1">
      <c r="B160"/>
    </row>
    <row r="161" spans="2:2" ht="15.6">
      <c r="B161"/>
    </row>
    <row r="162" spans="2:2" ht="67.5" customHeight="1">
      <c r="B162"/>
    </row>
    <row r="163" spans="2:2" ht="35.1" customHeight="1">
      <c r="B163"/>
    </row>
    <row r="164" spans="2:2" ht="15" customHeight="1">
      <c r="B164"/>
    </row>
    <row r="165" spans="2:2" ht="42" customHeight="1">
      <c r="B165"/>
    </row>
    <row r="166" spans="2:2" ht="15.6">
      <c r="B166"/>
    </row>
    <row r="167" spans="2:2" ht="15.6">
      <c r="B167"/>
    </row>
    <row r="168" spans="2:2" ht="15.6">
      <c r="B168"/>
    </row>
    <row r="169" spans="2:2" ht="15.6">
      <c r="B169"/>
    </row>
    <row r="170" spans="2:2" ht="15.6">
      <c r="B170"/>
    </row>
    <row r="171" spans="2:2" ht="15.6">
      <c r="B171"/>
    </row>
    <row r="172" spans="2:2" ht="15.6">
      <c r="B172"/>
    </row>
    <row r="173" spans="2:2" ht="15.6">
      <c r="B173"/>
    </row>
    <row r="174" spans="2:2" ht="15.6">
      <c r="B174"/>
    </row>
    <row r="175" spans="2:2" ht="15.6">
      <c r="B175"/>
    </row>
    <row r="176" spans="2:2" ht="15.6">
      <c r="B176"/>
    </row>
    <row r="177" spans="2:2" ht="15.6">
      <c r="B177"/>
    </row>
    <row r="178" spans="2:2" ht="15.6">
      <c r="B178"/>
    </row>
    <row r="179" spans="2:2" ht="15.6">
      <c r="B179"/>
    </row>
    <row r="180" spans="2:2" ht="15.6">
      <c r="B180"/>
    </row>
    <row r="181" spans="2:2" ht="15.6">
      <c r="B181"/>
    </row>
    <row r="182" spans="2:2" ht="15.6">
      <c r="B182"/>
    </row>
    <row r="183" spans="2:2" ht="44.25" customHeight="1">
      <c r="B183"/>
    </row>
    <row r="184" spans="2:2" ht="15.6">
      <c r="B184"/>
    </row>
    <row r="185" spans="2:2" ht="15.6">
      <c r="B185"/>
    </row>
    <row r="186" spans="2:2" ht="15.6">
      <c r="B186"/>
    </row>
    <row r="187" spans="2:2" ht="15.6">
      <c r="B187"/>
    </row>
  </sheetData>
  <sheetProtection algorithmName="SHA-512" hashValue="GBsU3PBTHCNbd4Z0lBSIyC0xQlSJQYmA5WljDhDhtiPIyrCCYrabKzwJRYKMqR+qqgHaKPXpKxvJD6lsKCR/Ww==" saltValue="RIhIHm2IAsJ86CfKq+Bg0Q==" spinCount="100000" sheet="1" objects="1" scenarios="1"/>
  <mergeCells count="18">
    <mergeCell ref="C46:D46"/>
    <mergeCell ref="C56:D56"/>
    <mergeCell ref="A58:A68"/>
    <mergeCell ref="C58:E58"/>
    <mergeCell ref="C73:D73"/>
    <mergeCell ref="C11:D11"/>
    <mergeCell ref="C19:D19"/>
    <mergeCell ref="A20:A27"/>
    <mergeCell ref="C20:E20"/>
    <mergeCell ref="C31:D31"/>
    <mergeCell ref="A32:A40"/>
    <mergeCell ref="C32:E32"/>
    <mergeCell ref="A1:E1"/>
    <mergeCell ref="A2:E2"/>
    <mergeCell ref="A3:E3"/>
    <mergeCell ref="C4:E4"/>
    <mergeCell ref="A6:E6"/>
    <mergeCell ref="C7:D7"/>
  </mergeCells>
  <dataValidations count="1">
    <dataValidation type="list" showInputMessage="1" showErrorMessage="1" sqref="C8:C10 C12:C18 C21:C30 C33:C45 C47:C55 C57 C59:C72 C74:C82">
      <formula1>"Met,Partially Met,UnMet,Not Applicable"</formula1>
    </dataValidation>
  </dataValidations>
  <pageMargins left="0.74803149606299202" right="0.74803149606299202" top="0.98425196850393704" bottom="0.98425196850393704" header="0.511811023622047" footer="0.511811023622047"/>
  <pageSetup scale="32" orientation="landscape"/>
  <rowBreaks count="3" manualBreakCount="3">
    <brk id="18" max="8" man="1"/>
    <brk id="45" max="8" man="1"/>
    <brk id="72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SMCS9</vt:lpstr>
      <vt:lpstr>SMCS9!_Toc45702522</vt:lpstr>
      <vt:lpstr>SMCS9!_Toc87295158</vt:lpstr>
      <vt:lpstr>SMCS9!Print_Area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Ashraf Musa</dc:creator>
  <cp:lastModifiedBy>Ashraf Musa</cp:lastModifiedBy>
  <dcterms:created xsi:type="dcterms:W3CDTF">2025-08-22T13:37:56Z</dcterms:created>
  <dcterms:modified xsi:type="dcterms:W3CDTF">2025-08-22T13:37:57Z</dcterms:modified>
</cp:coreProperties>
</file>