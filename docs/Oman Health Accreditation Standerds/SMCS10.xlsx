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bookViews>
    <workbookView xWindow="0" yWindow="0" windowWidth="23040" windowHeight="8784"/>
  </bookViews>
  <sheets>
    <sheet name="SMCS10" sheetId="1" r:id="rId1"/>
  </sheets>
  <definedNames>
    <definedName name="_xlnm.Print_Area" localSheetId="0">SMCS10!$A$1:$F$108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05" i="1" l="1"/>
  <c r="AC105" i="1"/>
  <c r="AB105" i="1"/>
  <c r="AA105" i="1"/>
  <c r="AD104" i="1"/>
  <c r="AC104" i="1"/>
  <c r="AB104" i="1"/>
  <c r="AA104" i="1"/>
  <c r="AD103" i="1"/>
  <c r="AC103" i="1"/>
  <c r="AB103" i="1"/>
  <c r="AA103" i="1"/>
  <c r="AD102" i="1"/>
  <c r="AC102" i="1"/>
  <c r="AB102" i="1"/>
  <c r="AA102" i="1"/>
  <c r="AD101" i="1"/>
  <c r="AC101" i="1"/>
  <c r="AB101" i="1"/>
  <c r="AA101" i="1"/>
  <c r="AD100" i="1"/>
  <c r="AC100" i="1"/>
  <c r="AB100" i="1"/>
  <c r="AA100" i="1"/>
  <c r="AD99" i="1"/>
  <c r="AC99" i="1"/>
  <c r="AB99" i="1"/>
  <c r="AA99" i="1"/>
  <c r="AD98" i="1"/>
  <c r="AC98" i="1"/>
  <c r="AB98" i="1"/>
  <c r="AA98" i="1"/>
  <c r="AD97" i="1"/>
  <c r="AC97" i="1"/>
  <c r="AB97" i="1"/>
  <c r="AA97" i="1"/>
  <c r="AD96" i="1"/>
  <c r="AC96" i="1"/>
  <c r="AB96" i="1"/>
  <c r="AA96" i="1"/>
  <c r="AD95" i="1"/>
  <c r="AC95" i="1"/>
  <c r="AB95" i="1"/>
  <c r="AA95" i="1"/>
  <c r="AD94" i="1"/>
  <c r="AC94" i="1"/>
  <c r="AB94" i="1"/>
  <c r="AA94" i="1"/>
  <c r="AD93" i="1"/>
  <c r="AC93" i="1"/>
  <c r="AB93" i="1"/>
  <c r="AA93" i="1"/>
  <c r="AD91" i="1"/>
  <c r="AC91" i="1"/>
  <c r="AB91" i="1"/>
  <c r="AA91" i="1"/>
  <c r="AD90" i="1"/>
  <c r="AC90" i="1"/>
  <c r="AB90" i="1"/>
  <c r="AA90" i="1"/>
  <c r="AD89" i="1"/>
  <c r="AC89" i="1"/>
  <c r="AB89" i="1"/>
  <c r="AA89" i="1"/>
  <c r="AD88" i="1"/>
  <c r="AC88" i="1"/>
  <c r="AB88" i="1"/>
  <c r="AA88" i="1"/>
  <c r="AD87" i="1"/>
  <c r="AC87" i="1"/>
  <c r="AB87" i="1"/>
  <c r="AA87" i="1"/>
  <c r="AD86" i="1"/>
  <c r="AC86" i="1"/>
  <c r="AB86" i="1"/>
  <c r="AA86" i="1"/>
  <c r="AD84" i="1"/>
  <c r="AC84" i="1"/>
  <c r="AB84" i="1"/>
  <c r="AA84" i="1"/>
  <c r="AF83" i="1" s="1"/>
  <c r="AD82" i="1"/>
  <c r="AC82" i="1"/>
  <c r="AB82" i="1"/>
  <c r="AA82" i="1"/>
  <c r="AD81" i="1"/>
  <c r="AC81" i="1"/>
  <c r="AB81" i="1"/>
  <c r="AA81" i="1"/>
  <c r="AD80" i="1"/>
  <c r="AC80" i="1"/>
  <c r="AB80" i="1"/>
  <c r="AA80" i="1"/>
  <c r="AD79" i="1"/>
  <c r="AC79" i="1"/>
  <c r="AB79" i="1"/>
  <c r="AA79" i="1"/>
  <c r="AD78" i="1"/>
  <c r="AC78" i="1"/>
  <c r="AB78" i="1"/>
  <c r="AA78" i="1"/>
  <c r="AD77" i="1"/>
  <c r="AC77" i="1"/>
  <c r="AB77" i="1"/>
  <c r="AA77" i="1"/>
  <c r="AD76" i="1"/>
  <c r="AC76" i="1"/>
  <c r="AB76" i="1"/>
  <c r="AA76" i="1"/>
  <c r="AD75" i="1"/>
  <c r="AC75" i="1"/>
  <c r="AB75" i="1"/>
  <c r="AA75" i="1"/>
  <c r="AD74" i="1"/>
  <c r="AC74" i="1"/>
  <c r="AB74" i="1"/>
  <c r="AA74" i="1"/>
  <c r="AD73" i="1"/>
  <c r="AC73" i="1"/>
  <c r="AB73" i="1"/>
  <c r="AA73" i="1"/>
  <c r="AD72" i="1"/>
  <c r="AC72" i="1"/>
  <c r="AB72" i="1"/>
  <c r="AA72" i="1"/>
  <c r="AD71" i="1"/>
  <c r="AC71" i="1"/>
  <c r="AB71" i="1"/>
  <c r="AA71" i="1"/>
  <c r="AD70" i="1"/>
  <c r="AC70" i="1"/>
  <c r="AB70" i="1"/>
  <c r="AA70" i="1"/>
  <c r="AD69" i="1"/>
  <c r="AC69" i="1"/>
  <c r="AB69" i="1"/>
  <c r="AA69" i="1"/>
  <c r="AD68" i="1"/>
  <c r="AC68" i="1"/>
  <c r="AB68" i="1"/>
  <c r="AA68" i="1"/>
  <c r="AE66" i="1" s="1"/>
  <c r="E66" i="1" s="1"/>
  <c r="AF66" i="1"/>
  <c r="AD65" i="1"/>
  <c r="AC65" i="1"/>
  <c r="AB65" i="1"/>
  <c r="AA65" i="1"/>
  <c r="AD64" i="1"/>
  <c r="AC64" i="1"/>
  <c r="AB64" i="1"/>
  <c r="AA64" i="1"/>
  <c r="AD63" i="1"/>
  <c r="AC63" i="1"/>
  <c r="AB63" i="1"/>
  <c r="AA63" i="1"/>
  <c r="AD62" i="1"/>
  <c r="AC62" i="1"/>
  <c r="AB62" i="1"/>
  <c r="AA62" i="1"/>
  <c r="AD61" i="1"/>
  <c r="AC61" i="1"/>
  <c r="AB61" i="1"/>
  <c r="AA61" i="1"/>
  <c r="AD60" i="1"/>
  <c r="AC60" i="1"/>
  <c r="AB60" i="1"/>
  <c r="AA60" i="1"/>
  <c r="AD59" i="1"/>
  <c r="AC59" i="1"/>
  <c r="AB59" i="1"/>
  <c r="AA59" i="1"/>
  <c r="AD58" i="1"/>
  <c r="AC58" i="1"/>
  <c r="AB58" i="1"/>
  <c r="AA58" i="1"/>
  <c r="AD57" i="1"/>
  <c r="AC57" i="1"/>
  <c r="AB57" i="1"/>
  <c r="AA57" i="1"/>
  <c r="AD56" i="1"/>
  <c r="AC56" i="1"/>
  <c r="AB56" i="1"/>
  <c r="AA56" i="1"/>
  <c r="AD55" i="1"/>
  <c r="AC55" i="1"/>
  <c r="AB55" i="1"/>
  <c r="AA55" i="1"/>
  <c r="AD54" i="1"/>
  <c r="AC54" i="1"/>
  <c r="AB54" i="1"/>
  <c r="AA54" i="1"/>
  <c r="AD53" i="1"/>
  <c r="AC53" i="1"/>
  <c r="AB53" i="1"/>
  <c r="AA53" i="1"/>
  <c r="AD52" i="1"/>
  <c r="AC52" i="1"/>
  <c r="AB52" i="1"/>
  <c r="AA52" i="1"/>
  <c r="AD51" i="1"/>
  <c r="AC51" i="1"/>
  <c r="AB51" i="1"/>
  <c r="AA51" i="1"/>
  <c r="AD50" i="1"/>
  <c r="AC50" i="1"/>
  <c r="AB50" i="1"/>
  <c r="AA50" i="1"/>
  <c r="AD49" i="1"/>
  <c r="AC49" i="1"/>
  <c r="AB49" i="1"/>
  <c r="AA49" i="1"/>
  <c r="AD48" i="1"/>
  <c r="AC48" i="1"/>
  <c r="AB48" i="1"/>
  <c r="AA48" i="1"/>
  <c r="AD47" i="1"/>
  <c r="AC47" i="1"/>
  <c r="AB47" i="1"/>
  <c r="AA47" i="1"/>
  <c r="AF46" i="1" s="1"/>
  <c r="AE46" i="1"/>
  <c r="AD45" i="1"/>
  <c r="AC45" i="1"/>
  <c r="AB45" i="1"/>
  <c r="AA45" i="1"/>
  <c r="AD44" i="1"/>
  <c r="AC44" i="1"/>
  <c r="AB44" i="1"/>
  <c r="AA44" i="1"/>
  <c r="AD43" i="1"/>
  <c r="AC43" i="1"/>
  <c r="AB43" i="1"/>
  <c r="AA43" i="1"/>
  <c r="AD42" i="1"/>
  <c r="AC42" i="1"/>
  <c r="AB42" i="1"/>
  <c r="AA42" i="1"/>
  <c r="AD41" i="1"/>
  <c r="AC41" i="1"/>
  <c r="AB41" i="1"/>
  <c r="AA41" i="1"/>
  <c r="AD40" i="1"/>
  <c r="AC40" i="1"/>
  <c r="AB40" i="1"/>
  <c r="AA40" i="1"/>
  <c r="AD39" i="1"/>
  <c r="AC39" i="1"/>
  <c r="AB39" i="1"/>
  <c r="AA39" i="1"/>
  <c r="AD38" i="1"/>
  <c r="AC38" i="1"/>
  <c r="AB38" i="1"/>
  <c r="AA38" i="1"/>
  <c r="AD37" i="1"/>
  <c r="AC37" i="1"/>
  <c r="AB37" i="1"/>
  <c r="AA37" i="1"/>
  <c r="AF35" i="1" s="1"/>
  <c r="AD36" i="1"/>
  <c r="AC36" i="1"/>
  <c r="AB36" i="1"/>
  <c r="AA36" i="1"/>
  <c r="AD34" i="1"/>
  <c r="AC34" i="1"/>
  <c r="AB34" i="1"/>
  <c r="AA34" i="1"/>
  <c r="AD33" i="1"/>
  <c r="AC33" i="1"/>
  <c r="AB33" i="1"/>
  <c r="AA33" i="1"/>
  <c r="AD32" i="1"/>
  <c r="AC32" i="1"/>
  <c r="AB32" i="1"/>
  <c r="AA32" i="1"/>
  <c r="AD31" i="1"/>
  <c r="AC31" i="1"/>
  <c r="AB31" i="1"/>
  <c r="AA31" i="1"/>
  <c r="AD30" i="1"/>
  <c r="AC30" i="1"/>
  <c r="AB30" i="1"/>
  <c r="AA30" i="1"/>
  <c r="AD29" i="1"/>
  <c r="AC29" i="1"/>
  <c r="AB29" i="1"/>
  <c r="AA29" i="1"/>
  <c r="AD28" i="1"/>
  <c r="AC28" i="1"/>
  <c r="AB28" i="1"/>
  <c r="AA28" i="1"/>
  <c r="AD27" i="1"/>
  <c r="AC27" i="1"/>
  <c r="AB27" i="1"/>
  <c r="AA27" i="1"/>
  <c r="AD26" i="1"/>
  <c r="AC26" i="1"/>
  <c r="AB26" i="1"/>
  <c r="AA26" i="1"/>
  <c r="AD25" i="1"/>
  <c r="AC25" i="1"/>
  <c r="AB25" i="1"/>
  <c r="AA25" i="1"/>
  <c r="AD24" i="1"/>
  <c r="AC24" i="1"/>
  <c r="AB24" i="1"/>
  <c r="AA24" i="1"/>
  <c r="AD23" i="1"/>
  <c r="AC23" i="1"/>
  <c r="AB23" i="1"/>
  <c r="AA23" i="1"/>
  <c r="AD22" i="1"/>
  <c r="AC22" i="1"/>
  <c r="AB22" i="1"/>
  <c r="AA22" i="1"/>
  <c r="AF19" i="1" s="1"/>
  <c r="AD21" i="1"/>
  <c r="AC21" i="1"/>
  <c r="AB21" i="1"/>
  <c r="AA21" i="1"/>
  <c r="AD18" i="1"/>
  <c r="AC18" i="1"/>
  <c r="AB18" i="1"/>
  <c r="AA18" i="1"/>
  <c r="AD17" i="1"/>
  <c r="AC17" i="1"/>
  <c r="AB17" i="1"/>
  <c r="AA17" i="1"/>
  <c r="AD16" i="1"/>
  <c r="AC16" i="1"/>
  <c r="AB16" i="1"/>
  <c r="AA16" i="1"/>
  <c r="AD15" i="1"/>
  <c r="AC15" i="1"/>
  <c r="AB15" i="1"/>
  <c r="AA15" i="1"/>
  <c r="AE14" i="1" s="1"/>
  <c r="E14" i="1" s="1"/>
  <c r="AF14" i="1"/>
  <c r="AD13" i="1"/>
  <c r="AC13" i="1"/>
  <c r="AB13" i="1"/>
  <c r="AA13" i="1"/>
  <c r="AD12" i="1"/>
  <c r="AC12" i="1"/>
  <c r="AB12" i="1"/>
  <c r="AA12" i="1"/>
  <c r="AD11" i="1"/>
  <c r="AC11" i="1"/>
  <c r="AB11" i="1"/>
  <c r="AA11" i="1"/>
  <c r="AD10" i="1"/>
  <c r="AC10" i="1"/>
  <c r="AB10" i="1"/>
  <c r="AA10" i="1"/>
  <c r="AD9" i="1"/>
  <c r="AC9" i="1"/>
  <c r="AB9" i="1"/>
  <c r="AA9" i="1"/>
  <c r="AF7" i="1" s="1"/>
  <c r="AD8" i="1"/>
  <c r="AC8" i="1"/>
  <c r="AB8" i="1"/>
  <c r="AA8" i="1"/>
  <c r="AB4" i="1"/>
  <c r="E46" i="1" l="1"/>
  <c r="AA4" i="1"/>
  <c r="C4" i="1" s="1"/>
  <c r="AE19" i="1"/>
  <c r="E19" i="1" s="1"/>
  <c r="AE7" i="1"/>
  <c r="E7" i="1" s="1"/>
  <c r="AE35" i="1"/>
  <c r="E35" i="1" s="1"/>
  <c r="AE83" i="1"/>
  <c r="E83" i="1" s="1"/>
</calcChain>
</file>

<file path=xl/sharedStrings.xml><?xml version="1.0" encoding="utf-8"?>
<sst xmlns="http://schemas.openxmlformats.org/spreadsheetml/2006/main" count="160" uniqueCount="160">
  <si>
    <t xml:space="preserve"> Quality Assurance Center </t>
  </si>
  <si>
    <t xml:space="preserve">Oman Healthcare Accrediation System </t>
  </si>
  <si>
    <t xml:space="preserve">Self Assessment Tool (SAT) </t>
  </si>
  <si>
    <t>Chapter 4</t>
  </si>
  <si>
    <t>Specialized Medical Care Services (SMCS)</t>
  </si>
  <si>
    <t>Conformity Level</t>
  </si>
  <si>
    <t xml:space="preserve">Evidence </t>
  </si>
  <si>
    <t xml:space="preserve">Comments </t>
  </si>
  <si>
    <t>Burn Care Unit</t>
  </si>
  <si>
    <t>SMCS.98</t>
  </si>
  <si>
    <t>The burn care unit is covered by qualified, well-trained medical, nursing, and supportive staff.</t>
  </si>
  <si>
    <t>Total Measures: 7</t>
  </si>
  <si>
    <t>SMCS.98.a</t>
  </si>
  <si>
    <t xml:space="preserve">The director of burn care unit is a plastic surgeon (consultant), who is qualified by education, training and experience in burn care and plastic surgery. </t>
  </si>
  <si>
    <t>SMCS.98.b</t>
  </si>
  <si>
    <t xml:space="preserve">The burn care unit is covered by registered burn consultants/ qualified plastic surgeons, twenty-four hours a day, seven days a week. </t>
  </si>
  <si>
    <t>SMCS.98.c</t>
  </si>
  <si>
    <t>The burn unit nurse manager is a registered nurse, who is qualified by education, training and experience n burn care.</t>
  </si>
  <si>
    <t>SMCS.98.d</t>
  </si>
  <si>
    <t>The burn unit bedside nurses are qualified and experienced in managing burn patients.</t>
  </si>
  <si>
    <t>SMCS.98.e</t>
  </si>
  <si>
    <t>Medical and nursing staffing plan is based on patient acuity and volume to ensure there is adequate coverage for twenty-four hours a day, seven days a week.</t>
  </si>
  <si>
    <t>SMCS.98.f</t>
  </si>
  <si>
    <t xml:space="preserve">All medical and nursing staff providing care for burn patients are certified in advanced life support for different patient age group. </t>
  </si>
  <si>
    <t>SMCS.99</t>
  </si>
  <si>
    <t>The burn care unit has a process of admission, discharge, and referral of patients.</t>
  </si>
  <si>
    <t>Total Measures: 4</t>
  </si>
  <si>
    <t>SMCS.99.a</t>
  </si>
  <si>
    <t>The burn care unit has updated admission, discharge, and referral policies and procedures with specific criteria as per evidence-based practice.</t>
  </si>
  <si>
    <t>SMCS.99.b</t>
  </si>
  <si>
    <t xml:space="preserve">The admission, discharge, and referral criteria are collaboratively developed by senior medical and nursing staff. </t>
  </si>
  <si>
    <t>SMCS.99.c</t>
  </si>
  <si>
    <t xml:space="preserve">All staff are trained and oriented on the admission and discharge criteria. </t>
  </si>
  <si>
    <t>SMCS.99.d</t>
  </si>
  <si>
    <t xml:space="preserve">The unit leaders implement regular audit to assess the implementation of the criteria </t>
  </si>
  <si>
    <t>SMCS.100</t>
  </si>
  <si>
    <t xml:space="preserve">
The burn care unit has written polices and guidelines to guide the provision of care to burn patients.   
</t>
  </si>
  <si>
    <t>Total Measures: 14</t>
  </si>
  <si>
    <t>SMCS.100.a</t>
  </si>
  <si>
    <t xml:space="preserve">The burn unit has policies and procedures/ guidelines that guide the care of burn  patients including but are not limited to: 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</si>
  <si>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Initial assessment and reassessment of burns injury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</si>
  <si>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Burns wound assessment and management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</si>
  <si>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Assessment and management of inhalation injury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</si>
  <si>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Monitoring vital signs, circulation, respiration and circulation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</si>
  <si>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Clinical handover between staff during transition time and points.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</si>
  <si>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Continuous burn patient monitoring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</si>
  <si>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Total burn care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</si>
  <si>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Management of changing degrees/types of burns.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</si>
  <si>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Use of skin grafts.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</si>
  <si>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Thermal and Electrical Injuries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</si>
  <si>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Infection control in burn unit.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</si>
  <si>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Care of ventilated burn patient. </t>
    </r>
  </si>
  <si>
    <t>SMCS.100.b</t>
  </si>
  <si>
    <t>All staff are trained and oriented on the policies.</t>
  </si>
  <si>
    <t>SMCS.100.c</t>
  </si>
  <si>
    <t>There is regular audit conducted to assess compliance to policies,</t>
  </si>
  <si>
    <t>SMCS.101</t>
  </si>
  <si>
    <t xml:space="preserve">The burn Care unit strictly implements and supervises infection control and prevention practice. </t>
  </si>
  <si>
    <t>Total Measures: 10</t>
  </si>
  <si>
    <t>SMCS.101.a</t>
  </si>
  <si>
    <t xml:space="preserve">The burn unit strictly implements infection control and prevention guidelines to guide all practices in the unit. </t>
  </si>
  <si>
    <t>SMCS.101.b</t>
  </si>
  <si>
    <t>The unit environment is always maintained clean and disinfected all times.</t>
  </si>
  <si>
    <t>SMCS.101.c</t>
  </si>
  <si>
    <t xml:space="preserve">All unit staff are well trained and oriented to the infection control guidelines applied to the unit. </t>
  </si>
  <si>
    <t>SMCS.101.d</t>
  </si>
  <si>
    <t>Standard precautions are strictly followed in the burn unit, with strict emphasis on the hand hygiene and appropriate PPEs, use of masks, gowns, gloves, and other barriers.</t>
  </si>
  <si>
    <t>SMCS.101.e</t>
  </si>
  <si>
    <t>All unit rooms and equipment are cleaned and disinfected as per the ICP guidelines.</t>
  </si>
  <si>
    <t>SMCS.101.f</t>
  </si>
  <si>
    <t>The unit scrubs suits are only allowed inside the restricted areas of the unit.</t>
  </si>
  <si>
    <t>SMCS.101.g</t>
  </si>
  <si>
    <t>There is clear guideline on management, and proper Separation of cases.</t>
  </si>
  <si>
    <t>SMCS.101.h</t>
  </si>
  <si>
    <t>The team strictly implements aseptic dressing change, and care of skin graft.</t>
  </si>
  <si>
    <t>SMCS.101.i</t>
  </si>
  <si>
    <t>The burn care unit has positive pressure with High Efficiency Particulate Air (HEPA) filters.</t>
  </si>
  <si>
    <t>SMCS.101.j</t>
  </si>
  <si>
    <t>There is regular audit to ensure that policies and guidelines related to infection control are implemented in daily practice and recorded in patients’ medical records.</t>
  </si>
  <si>
    <t>SMCS.102</t>
  </si>
  <si>
    <t>The burn unit has adequate equipment and supplies for the provision of burn care service.</t>
  </si>
  <si>
    <t>Total Measures: 18</t>
  </si>
  <si>
    <t>The burn unit has the following equipment are available and accessible: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</si>
  <si>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Ventilators (for burns ICU only)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</si>
  <si>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Monitors for vital reading (heart rate, BP, O2 saturation, ECG, respiratory rate, central venous or arterial pressure)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</si>
  <si>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 Infusion pumps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</si>
  <si>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ABG (Arterial Blood Gas) machine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</si>
  <si>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Crash cart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</si>
  <si>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ECG machine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</si>
  <si>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Electro - cautery machine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</si>
  <si>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Sterile dressing sets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</si>
  <si>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Escharotomy, fasciotomy, Venous cut down set and tracheostomy set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</si>
  <si>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Central Venous Catheter set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</si>
  <si>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Airway management kits (including difficult airways equipment, airway sets).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</si>
  <si>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Suction machines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</si>
  <si>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Blood sugar machines.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</si>
  <si>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Urinary catheter sets</t>
    </r>
  </si>
  <si>
    <t>SMCS.102.b</t>
  </si>
  <si>
    <t>All staff are trained on the use of the equipment</t>
  </si>
  <si>
    <t>SMCS.102.c</t>
  </si>
  <si>
    <t>Equipment is disinfected and cleaned on daily based as required</t>
  </si>
  <si>
    <t>SMCS.102.d</t>
  </si>
  <si>
    <t>The unit has designated storage area for equipment.</t>
  </si>
  <si>
    <t>SMCS.102.e</t>
  </si>
  <si>
    <t xml:space="preserve">The unit has an access to emergency equipment, and any new set or new supply. </t>
  </si>
  <si>
    <t>SMCS.103</t>
  </si>
  <si>
    <t xml:space="preserve">The burn care and service in burn care unit is coordinated with other multidisciplinary team, to meet the need of burn patients. </t>
  </si>
  <si>
    <t>Total Measures: 15</t>
  </si>
  <si>
    <t>SMCS.103.a</t>
  </si>
  <si>
    <t>The multidisciplinary team includes, but is not limited to :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</si>
  <si>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Burns surgeon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</si>
  <si>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Anesthesia services.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</si>
  <si>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Respiratory therapist.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</si>
  <si>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Physiotherapist/ occupational therapist.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</si>
  <si>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Clinical pharmacist.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</si>
  <si>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Dieticians.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</si>
  <si>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Social worker.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</si>
  <si>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Infection prevention and control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</si>
  <si>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Psychologist.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</si>
  <si>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Microbiologist, clinical psychologist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</si>
  <si>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Occupational therapist/ Physiotherapist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</si>
  <si>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General physician</t>
    </r>
  </si>
  <si>
    <t>SMCS.103.b</t>
  </si>
  <si>
    <t xml:space="preserve">The staff are all aware about multidisciplinary care approach </t>
  </si>
  <si>
    <t>SMCS.103.c</t>
  </si>
  <si>
    <t>The team communicates with the admitting and referring services</t>
  </si>
  <si>
    <t>SMCS.103.d</t>
  </si>
  <si>
    <t>Care is coordinated between the multidisciplinary team and documented in patient medical records.</t>
  </si>
  <si>
    <t>SMCS.104</t>
  </si>
  <si>
    <t xml:space="preserve">The Burn care unit implements various approaches to enhance staff knowledge and competency. </t>
  </si>
  <si>
    <t>Total Measures: 20</t>
  </si>
  <si>
    <t>SMCS.104.a</t>
  </si>
  <si>
    <t xml:space="preserve">The unit has an orientation program and training for all newly joining nursing staff, with a written orientation checklist.   </t>
  </si>
  <si>
    <t>SMCS.104.b</t>
  </si>
  <si>
    <t>All unit nursing staff receive required training and education on intensive care related cases and procedures, covering</t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</si>
  <si>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Fundamentals of burn care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</si>
  <si>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Acute management of burns injuries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</si>
  <si>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Infection control guidelines in burn unit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</si>
  <si>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>      Handover guides in burn unit.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</si>
  <si>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Management of electrolytes and other high alert medication including, the dosage, side effects, and complications.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</si>
  <si>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Fluid replacement </t>
    </r>
  </si>
  <si>
    <r>
      <rPr>
        <sz val="16"/>
        <rFont val="Symbol"/>
        <charset val="2"/>
      </rPr>
      <t>·</t>
    </r>
    <r>
      <rPr>
        <sz val="16"/>
        <rFont val="Times New Roman"/>
        <charset val="134"/>
      </rPr>
      <t xml:space="preserve">      Management  different charts used in burn unit including: </t>
    </r>
  </si>
  <si>
    <t>1.     Lund and Browder chart,  Fluid resuscitation chart</t>
  </si>
  <si>
    <t>2.     Vital signs chart</t>
  </si>
  <si>
    <t>3.      Input / Output chart</t>
  </si>
  <si>
    <t>4.     Medication chart</t>
  </si>
  <si>
    <t>5.     Investigation chart</t>
  </si>
  <si>
    <t>6.     ICU chart for ventilated patients</t>
  </si>
  <si>
    <t>7.     Abbreviated Burns Severity Index (ABSI) scoring</t>
  </si>
  <si>
    <t>8.     Nutrition chart</t>
  </si>
  <si>
    <t>SMCS.104.c</t>
  </si>
  <si>
    <t>The unit has a clinical nurse educator/ instructor, responsible about staff training and competency.</t>
  </si>
  <si>
    <t>SMCS.104.d</t>
  </si>
  <si>
    <t>The unit has an annual training plan to ensure a proper coverage of the staff into different courses.</t>
  </si>
  <si>
    <t>SMCS.104.e</t>
  </si>
  <si>
    <r>
      <rPr>
        <sz val="16"/>
        <color theme="1"/>
        <rFont val="Times New Roman"/>
        <charset val="134"/>
      </rPr>
      <t>Nursing staff receive continuous training with competency assessment</t>
    </r>
    <r>
      <rPr>
        <b/>
        <sz val="16"/>
        <color theme="1"/>
        <rFont val="Times New Roman"/>
        <charset val="134"/>
      </rPr>
      <t>.</t>
    </r>
  </si>
  <si>
    <t>SMCS.104.f</t>
  </si>
  <si>
    <t xml:space="preserve">The staff performance is monitored through competency checklist </t>
  </si>
  <si>
    <t>SMCS.104.g</t>
  </si>
  <si>
    <t>The staff competency assessment is documented and kept in staff personal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</si>
</sst>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2"/>
      <color theme="1"/>
      <name val="Calibri"/>
      <charset val="134"/>
      <scheme val="minor"/>
    </font>
    <font>
      <b/>
      <sz val="16"/>
      <color rgb="FF000000"/>
      <name val="Times New Roman"/>
      <charset val="134"/>
    </font>
    <font>
      <b/>
      <sz val="18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b/>
      <sz val="14"/>
      <color rgb="FF000000"/>
      <name val="Times New Roman"/>
      <charset val="134"/>
    </font>
    <font>
      <sz val="11"/>
      <color rgb="FF9C6500"/>
      <name val="Calibri"/>
      <charset val="134"/>
      <scheme val="minor"/>
    </font>
    <font>
      <b/>
      <sz val="22"/>
      <color rgb="FFC00000"/>
      <name val="Calibri"/>
      <charset val="134"/>
      <scheme val="minor"/>
    </font>
    <font>
      <b/>
      <sz val="16"/>
      <name val="Times New Roman"/>
      <charset val="134"/>
    </font>
    <font>
      <b/>
      <sz val="12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Calibri"/>
      <charset val="134"/>
      <scheme val="minor"/>
    </font>
    <font>
      <sz val="16"/>
      <name val="Symbol"/>
      <charset val="2"/>
    </font>
    <font>
      <sz val="16"/>
      <name val="Times New Roman"/>
      <charset val="134"/>
    </font>
    <font>
      <sz val="14"/>
      <color theme="1"/>
      <name val="Times New Roman"/>
      <charset val="134"/>
    </font>
  </fonts>
  <fills count="1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6" fillId="5" borderId="8" xfId="1" applyFont="1" applyBorder="1" applyAlignment="1">
      <alignment horizontal="center" vertical="center"/>
    </xf>
    <xf numFmtId="0" fontId="6" fillId="5" borderId="7" xfId="1" applyFont="1" applyBorder="1" applyAlignment="1">
      <alignment horizontal="center" vertical="center"/>
    </xf>
    <xf numFmtId="0" fontId="6" fillId="5" borderId="9" xfId="1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vertical="center"/>
    </xf>
    <xf numFmtId="0" fontId="8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vertical="center" wrapText="1"/>
    </xf>
    <xf numFmtId="0" fontId="9" fillId="9" borderId="10" xfId="0" applyFont="1" applyFill="1" applyBorder="1" applyAlignment="1">
      <alignment horizontal="left" vertical="center" wrapText="1"/>
    </xf>
    <xf numFmtId="0" fontId="10" fillId="9" borderId="11" xfId="0" applyFont="1" applyFill="1" applyBorder="1" applyAlignment="1">
      <alignment horizontal="left" vertical="center"/>
    </xf>
    <xf numFmtId="0" fontId="10" fillId="9" borderId="13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horizontal="left" vertical="center"/>
    </xf>
    <xf numFmtId="0" fontId="9" fillId="10" borderId="15" xfId="0" applyFont="1" applyFill="1" applyBorder="1" applyAlignment="1">
      <alignment horizontal="justify" vertical="center" wrapText="1"/>
    </xf>
    <xf numFmtId="0" fontId="11" fillId="11" borderId="15" xfId="0" applyFont="1" applyFill="1" applyBorder="1" applyAlignment="1">
      <alignment horizontal="justify" vertical="center" wrapText="1"/>
    </xf>
    <xf numFmtId="0" fontId="12" fillId="0" borderId="15" xfId="0" applyFont="1" applyBorder="1" applyProtection="1">
      <protection locked="0"/>
    </xf>
    <xf numFmtId="0" fontId="9" fillId="9" borderId="16" xfId="0" applyFont="1" applyFill="1" applyBorder="1" applyAlignment="1">
      <alignment vertical="center" wrapText="1"/>
    </xf>
    <xf numFmtId="0" fontId="11" fillId="11" borderId="15" xfId="0" applyFont="1" applyFill="1" applyBorder="1" applyAlignment="1">
      <alignment vertical="center" wrapText="1"/>
    </xf>
    <xf numFmtId="0" fontId="9" fillId="10" borderId="15" xfId="0" applyFont="1" applyFill="1" applyBorder="1" applyAlignment="1">
      <alignment horizontal="justify" vertical="center" wrapText="1"/>
    </xf>
    <xf numFmtId="0" fontId="11" fillId="12" borderId="15" xfId="0" applyFont="1" applyFill="1" applyBorder="1" applyAlignment="1">
      <alignment vertical="top" wrapText="1"/>
    </xf>
    <xf numFmtId="0" fontId="12" fillId="12" borderId="11" xfId="0" applyFont="1" applyFill="1" applyBorder="1" applyAlignment="1">
      <alignment horizontal="center" vertical="top"/>
    </xf>
    <xf numFmtId="0" fontId="12" fillId="12" borderId="12" xfId="0" applyFont="1" applyFill="1" applyBorder="1" applyAlignment="1">
      <alignment horizontal="center" vertical="top"/>
    </xf>
    <xf numFmtId="0" fontId="12" fillId="12" borderId="13" xfId="0" applyFont="1" applyFill="1" applyBorder="1" applyAlignment="1">
      <alignment horizontal="center" vertical="top"/>
    </xf>
    <xf numFmtId="0" fontId="13" fillId="11" borderId="15" xfId="0" applyFont="1" applyFill="1" applyBorder="1" applyAlignment="1">
      <alignment horizontal="left" vertical="center" wrapText="1" indent="3"/>
    </xf>
    <xf numFmtId="0" fontId="9" fillId="9" borderId="16" xfId="0" applyFont="1" applyFill="1" applyBorder="1" applyAlignment="1">
      <alignment horizontal="justify" vertical="center" wrapText="1"/>
    </xf>
    <xf numFmtId="0" fontId="7" fillId="9" borderId="16" xfId="0" applyFont="1" applyFill="1" applyBorder="1" applyAlignment="1">
      <alignment horizontal="justify" vertical="center" wrapText="1"/>
    </xf>
    <xf numFmtId="0" fontId="9" fillId="10" borderId="15" xfId="0" applyFont="1" applyFill="1" applyBorder="1" applyAlignment="1">
      <alignment vertical="center" wrapText="1"/>
    </xf>
    <xf numFmtId="0" fontId="11" fillId="12" borderId="15" xfId="0" applyFont="1" applyFill="1" applyBorder="1" applyAlignment="1">
      <alignment vertical="center" wrapText="1"/>
    </xf>
    <xf numFmtId="0" fontId="12" fillId="12" borderId="11" xfId="0" applyFont="1" applyFill="1" applyBorder="1" applyAlignment="1" applyProtection="1">
      <alignment horizontal="center"/>
      <protection locked="0"/>
    </xf>
    <xf numFmtId="0" fontId="12" fillId="12" borderId="12" xfId="0" applyFont="1" applyFill="1" applyBorder="1" applyAlignment="1" applyProtection="1">
      <alignment horizontal="center"/>
      <protection locked="0"/>
    </xf>
    <xf numFmtId="0" fontId="12" fillId="12" borderId="13" xfId="0" applyFont="1" applyFill="1" applyBorder="1" applyAlignment="1" applyProtection="1">
      <alignment horizontal="center"/>
      <protection locked="0"/>
    </xf>
    <xf numFmtId="0" fontId="13" fillId="11" borderId="15" xfId="0" applyFont="1" applyFill="1" applyBorder="1" applyAlignment="1">
      <alignment horizontal="justify" vertical="center" wrapText="1"/>
    </xf>
    <xf numFmtId="0" fontId="12" fillId="12" borderId="11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9" fillId="10" borderId="15" xfId="0" applyFont="1" applyFill="1" applyBorder="1" applyAlignment="1">
      <alignment vertical="center" wrapText="1"/>
    </xf>
    <xf numFmtId="0" fontId="7" fillId="10" borderId="15" xfId="0" applyFont="1" applyFill="1" applyBorder="1" applyAlignment="1">
      <alignment horizontal="justify" vertical="center" wrapText="1"/>
    </xf>
    <xf numFmtId="0" fontId="14" fillId="11" borderId="15" xfId="0" applyFont="1" applyFill="1" applyBorder="1" applyAlignment="1">
      <alignment horizontal="justify" vertical="center" wrapText="1"/>
    </xf>
    <xf numFmtId="0" fontId="12" fillId="0" borderId="16" xfId="0" applyFont="1" applyBorder="1" applyProtection="1">
      <protection locked="0"/>
    </xf>
    <xf numFmtId="0" fontId="14" fillId="12" borderId="15" xfId="0" applyFont="1" applyFill="1" applyBorder="1" applyAlignment="1">
      <alignment horizontal="justify" vertical="center" wrapText="1"/>
    </xf>
    <xf numFmtId="0" fontId="13" fillId="12" borderId="15" xfId="0" applyFont="1" applyFill="1" applyBorder="1" applyAlignment="1">
      <alignment horizontal="justify" vertical="center" wrapText="1"/>
    </xf>
    <xf numFmtId="0" fontId="11" fillId="0" borderId="15" xfId="0" applyFont="1" applyBorder="1" applyAlignment="1">
      <alignment wrapText="1"/>
    </xf>
    <xf numFmtId="0" fontId="11" fillId="0" borderId="15" xfId="0" applyFont="1" applyBorder="1"/>
    <xf numFmtId="0" fontId="15" fillId="0" borderId="15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F105"/>
  <sheetViews>
    <sheetView tabSelected="1" topLeftCell="A93" workbookViewId="0">
      <selection activeCell="C105" sqref="C105"/>
    </sheetView>
  </sheetViews>
  <sheetFormatPr defaultColWidth="9" defaultRowHeight="15.6"/>
  <cols>
    <col min="1" max="1" width="15.19921875" customWidth="1"/>
    <col min="2" max="2" width="106.3984375" customWidth="1"/>
    <col min="3" max="3" width="17.8984375" customWidth="1"/>
    <col min="4" max="5" width="70.59765625" customWidth="1"/>
  </cols>
  <sheetData>
    <row r="1" spans="1:32" ht="20.399999999999999">
      <c r="A1" s="1" t="s">
        <v>0</v>
      </c>
      <c r="B1" s="2"/>
      <c r="C1" s="2"/>
      <c r="D1" s="2"/>
      <c r="E1" s="3"/>
    </row>
    <row r="2" spans="1:32" ht="20.399999999999999">
      <c r="A2" s="4" t="s">
        <v>1</v>
      </c>
      <c r="B2" s="5"/>
      <c r="C2" s="5"/>
      <c r="D2" s="5"/>
      <c r="E2" s="6"/>
    </row>
    <row r="3" spans="1:32" ht="23.4" thickBot="1">
      <c r="A3" s="7" t="s">
        <v>2</v>
      </c>
      <c r="B3" s="7"/>
      <c r="C3" s="7"/>
      <c r="D3" s="7"/>
      <c r="E3" s="8"/>
    </row>
    <row r="4" spans="1:32" ht="29.4" thickBot="1">
      <c r="A4" s="9"/>
      <c r="B4" s="10"/>
      <c r="C4" s="11" t="str">
        <f>"Total Score: "&amp;ROUND((AA4/AB4)*100,2)&amp;"%"</f>
        <v>Total Score: 0%</v>
      </c>
      <c r="D4" s="12"/>
      <c r="E4" s="13"/>
      <c r="AA4">
        <f>SUM(AA7:AA105)+SUM(AB7:AB105)*0.5</f>
        <v>0</v>
      </c>
      <c r="AB4">
        <f>COUNT(AA7:AA105)-SUM(AB7:AD105)</f>
        <v>88</v>
      </c>
    </row>
    <row r="5" spans="1:32" ht="39.75" customHeight="1" thickBot="1">
      <c r="A5" s="14" t="s">
        <v>3</v>
      </c>
      <c r="B5" s="15" t="s">
        <v>4</v>
      </c>
      <c r="C5" s="16" t="s">
        <v>5</v>
      </c>
      <c r="D5" s="17" t="s">
        <v>6</v>
      </c>
      <c r="E5" s="17" t="s">
        <v>7</v>
      </c>
    </row>
    <row r="6" spans="1:32" ht="39" customHeight="1" thickTop="1" thickBot="1">
      <c r="A6" s="18" t="s">
        <v>8</v>
      </c>
      <c r="B6" s="19"/>
      <c r="C6" s="19"/>
      <c r="D6" s="19"/>
      <c r="E6" s="20"/>
    </row>
    <row r="7" spans="1:32" ht="48.75" customHeight="1" thickTop="1" thickBot="1">
      <c r="A7" s="21" t="s">
        <v>9</v>
      </c>
      <c r="B7" s="22" t="s">
        <v>10</v>
      </c>
      <c r="C7" s="23" t="s">
        <v>11</v>
      </c>
      <c r="D7" s="24"/>
      <c r="E7" s="25" t="str">
        <f>"Quotation: "&amp;ROUND((AE7/AF7)*100,2)&amp;"%"</f>
        <v>Quotation: 0%</v>
      </c>
      <c r="AE7">
        <f>SUM(AA8:AA13)+SUM(AB8:AB13)*0.5</f>
        <v>0</v>
      </c>
      <c r="AF7">
        <f>COUNT(AA8:AA13)-SUM(AD8:AD13)</f>
        <v>6</v>
      </c>
    </row>
    <row r="8" spans="1:32" ht="43.2" thickTop="1" thickBot="1">
      <c r="A8" s="26" t="s">
        <v>12</v>
      </c>
      <c r="B8" s="27" t="s">
        <v>13</v>
      </c>
      <c r="C8" s="28"/>
      <c r="D8" s="28"/>
      <c r="E8" s="28"/>
      <c r="AA8">
        <f t="shared" ref="AA8:AA13" si="0">IF(C8="Met",1,0)</f>
        <v>0</v>
      </c>
      <c r="AB8">
        <f t="shared" ref="AB8:AB13" si="1">IF(C8="Partially Met",1,0)</f>
        <v>0</v>
      </c>
      <c r="AC8">
        <f t="shared" ref="AC8:AC13" si="2">IF(C8="UnMet",1,0)</f>
        <v>0</v>
      </c>
      <c r="AD8">
        <f t="shared" ref="AD8:AD13" si="3">IF(C8="Not Applicable",1,0)</f>
        <v>0</v>
      </c>
    </row>
    <row r="9" spans="1:32" ht="43.2" thickTop="1" thickBot="1">
      <c r="A9" s="26" t="s">
        <v>14</v>
      </c>
      <c r="B9" s="27" t="s">
        <v>15</v>
      </c>
      <c r="C9" s="28"/>
      <c r="D9" s="28"/>
      <c r="E9" s="28"/>
      <c r="AA9">
        <f t="shared" si="0"/>
        <v>0</v>
      </c>
      <c r="AB9">
        <f t="shared" si="1"/>
        <v>0</v>
      </c>
      <c r="AC9">
        <f t="shared" si="2"/>
        <v>0</v>
      </c>
      <c r="AD9">
        <f t="shared" si="3"/>
        <v>0</v>
      </c>
    </row>
    <row r="10" spans="1:32" ht="43.2" thickTop="1" thickBot="1">
      <c r="A10" s="26" t="s">
        <v>16</v>
      </c>
      <c r="B10" s="27" t="s">
        <v>17</v>
      </c>
      <c r="C10" s="28"/>
      <c r="D10" s="28"/>
      <c r="E10" s="28"/>
      <c r="AA10">
        <f t="shared" si="0"/>
        <v>0</v>
      </c>
      <c r="AB10">
        <f t="shared" si="1"/>
        <v>0</v>
      </c>
      <c r="AC10">
        <f t="shared" si="2"/>
        <v>0</v>
      </c>
      <c r="AD10">
        <f t="shared" si="3"/>
        <v>0</v>
      </c>
    </row>
    <row r="11" spans="1:32" ht="22.2" thickTop="1" thickBot="1">
      <c r="A11" s="26" t="s">
        <v>18</v>
      </c>
      <c r="B11" s="27" t="s">
        <v>19</v>
      </c>
      <c r="C11" s="28"/>
      <c r="D11" s="28"/>
      <c r="E11" s="28"/>
      <c r="AA11">
        <f t="shared" si="0"/>
        <v>0</v>
      </c>
      <c r="AB11">
        <f t="shared" si="1"/>
        <v>0</v>
      </c>
      <c r="AC11">
        <f t="shared" si="2"/>
        <v>0</v>
      </c>
      <c r="AD11">
        <f t="shared" si="3"/>
        <v>0</v>
      </c>
    </row>
    <row r="12" spans="1:32" ht="43.2" thickTop="1" thickBot="1">
      <c r="A12" s="26" t="s">
        <v>20</v>
      </c>
      <c r="B12" s="27" t="s">
        <v>21</v>
      </c>
      <c r="C12" s="28"/>
      <c r="D12" s="28"/>
      <c r="E12" s="28"/>
      <c r="AA12">
        <f t="shared" si="0"/>
        <v>0</v>
      </c>
      <c r="AB12">
        <f t="shared" si="1"/>
        <v>0</v>
      </c>
      <c r="AC12">
        <f t="shared" si="2"/>
        <v>0</v>
      </c>
      <c r="AD12">
        <f t="shared" si="3"/>
        <v>0</v>
      </c>
    </row>
    <row r="13" spans="1:32" ht="43.2" thickTop="1" thickBot="1">
      <c r="A13" s="26" t="s">
        <v>22</v>
      </c>
      <c r="B13" s="27" t="s">
        <v>23</v>
      </c>
      <c r="C13" s="28"/>
      <c r="D13" s="28"/>
      <c r="E13" s="28"/>
      <c r="AA13">
        <f t="shared" si="0"/>
        <v>0</v>
      </c>
      <c r="AB13">
        <f t="shared" si="1"/>
        <v>0</v>
      </c>
      <c r="AC13">
        <f t="shared" si="2"/>
        <v>0</v>
      </c>
      <c r="AD13">
        <f t="shared" si="3"/>
        <v>0</v>
      </c>
    </row>
    <row r="14" spans="1:32" ht="21.6" thickTop="1" thickBot="1">
      <c r="A14" s="29" t="s">
        <v>24</v>
      </c>
      <c r="B14" s="29" t="s">
        <v>25</v>
      </c>
      <c r="C14" s="23" t="s">
        <v>26</v>
      </c>
      <c r="D14" s="24"/>
      <c r="E14" s="25" t="str">
        <f>"Quotation: "&amp;ROUND((AE14/AF14)*100,2)&amp;"%"</f>
        <v>Quotation: 0%</v>
      </c>
      <c r="AE14">
        <f>SUM(AA15:AA18)+SUM(AB15:AB18)*0.5</f>
        <v>0</v>
      </c>
      <c r="AF14">
        <f>COUNT(AA15:AA18)-SUM(AD15:AD18)</f>
        <v>4</v>
      </c>
    </row>
    <row r="15" spans="1:32" ht="43.2" thickTop="1" thickBot="1">
      <c r="A15" s="26" t="s">
        <v>27</v>
      </c>
      <c r="B15" s="30" t="s">
        <v>28</v>
      </c>
      <c r="C15" s="28"/>
      <c r="D15" s="28"/>
      <c r="E15" s="28"/>
      <c r="AA15">
        <f>IF(C15="Met",1,0)</f>
        <v>0</v>
      </c>
      <c r="AB15">
        <f>IF(C15="Partially Met",1,0)</f>
        <v>0</v>
      </c>
      <c r="AC15">
        <f>IF(C15="UnMet",1,0)</f>
        <v>0</v>
      </c>
      <c r="AD15">
        <f>IF(C15="Not Applicable",1,0)</f>
        <v>0</v>
      </c>
    </row>
    <row r="16" spans="1:32" ht="43.2" thickTop="1" thickBot="1">
      <c r="A16" s="26" t="s">
        <v>29</v>
      </c>
      <c r="B16" s="30" t="s">
        <v>30</v>
      </c>
      <c r="C16" s="28"/>
      <c r="D16" s="28"/>
      <c r="E16" s="28"/>
      <c r="AA16">
        <f>IF(C16="Met",1,0)</f>
        <v>0</v>
      </c>
      <c r="AB16">
        <f>IF(C16="Partially Met",1,0)</f>
        <v>0</v>
      </c>
      <c r="AC16">
        <f>IF(C16="UnMet",1,0)</f>
        <v>0</v>
      </c>
      <c r="AD16">
        <f>IF(C16="Not Applicable",1,0)</f>
        <v>0</v>
      </c>
    </row>
    <row r="17" spans="1:32" ht="22.2" thickTop="1" thickBot="1">
      <c r="A17" s="26" t="s">
        <v>31</v>
      </c>
      <c r="B17" s="30" t="s">
        <v>32</v>
      </c>
      <c r="C17" s="28"/>
      <c r="D17" s="28"/>
      <c r="E17" s="28"/>
      <c r="AA17">
        <f>IF(C17="Met",1,0)</f>
        <v>0</v>
      </c>
      <c r="AB17">
        <f>IF(C17="Partially Met",1,0)</f>
        <v>0</v>
      </c>
      <c r="AC17">
        <f>IF(C17="UnMet",1,0)</f>
        <v>0</v>
      </c>
      <c r="AD17">
        <f>IF(C17="Not Applicable",1,0)</f>
        <v>0</v>
      </c>
    </row>
    <row r="18" spans="1:32" ht="22.2" thickTop="1" thickBot="1">
      <c r="A18" s="26" t="s">
        <v>33</v>
      </c>
      <c r="B18" s="30" t="s">
        <v>34</v>
      </c>
      <c r="C18" s="28"/>
      <c r="D18" s="28"/>
      <c r="E18" s="28"/>
      <c r="AA18">
        <f>IF(C18="Met",1,0)</f>
        <v>0</v>
      </c>
      <c r="AB18">
        <f>IF(C18="Partially Met",1,0)</f>
        <v>0</v>
      </c>
      <c r="AC18">
        <f>IF(C18="UnMet",1,0)</f>
        <v>0</v>
      </c>
      <c r="AD18">
        <f>IF(C18="Not Applicable",1,0)</f>
        <v>0</v>
      </c>
    </row>
    <row r="19" spans="1:32" ht="70.5" customHeight="1" thickTop="1" thickBot="1">
      <c r="A19" s="29" t="s">
        <v>35</v>
      </c>
      <c r="B19" s="29" t="s">
        <v>36</v>
      </c>
      <c r="C19" s="23" t="s">
        <v>37</v>
      </c>
      <c r="D19" s="24"/>
      <c r="E19" s="25" t="str">
        <f>"Quotation: "&amp;ROUND((AE19/AF19)*100,2)&amp;"%"</f>
        <v>Quotation: 0%</v>
      </c>
      <c r="AE19">
        <f>SUM(AA20:AA34)+SUM(AB20:AB34)*0.5</f>
        <v>0</v>
      </c>
      <c r="AF19">
        <f>COUNT(AA20:AA34)-SUM(AD20:AD34)</f>
        <v>14</v>
      </c>
    </row>
    <row r="20" spans="1:32" ht="43.2" thickTop="1" thickBot="1">
      <c r="A20" s="31" t="s">
        <v>38</v>
      </c>
      <c r="B20" s="32" t="s">
        <v>39</v>
      </c>
      <c r="C20" s="33"/>
      <c r="D20" s="34"/>
      <c r="E20" s="35"/>
    </row>
    <row r="21" spans="1:32" ht="22.2" thickTop="1" thickBot="1">
      <c r="A21" s="31"/>
      <c r="B21" s="36" t="s">
        <v>40</v>
      </c>
      <c r="C21" s="28"/>
      <c r="D21" s="28"/>
      <c r="E21" s="28"/>
      <c r="AA21">
        <f t="shared" ref="AA21:AA34" si="4">IF(C21="Met",1,0)</f>
        <v>0</v>
      </c>
      <c r="AB21">
        <f t="shared" ref="AB21:AB34" si="5">IF(C21="Partially Met",1,0)</f>
        <v>0</v>
      </c>
      <c r="AC21">
        <f t="shared" ref="AC21:AC34" si="6">IF(C21="UnMet",1,0)</f>
        <v>0</v>
      </c>
      <c r="AD21">
        <f t="shared" ref="AD21:AD34" si="7">IF(C21="Not Applicable",1,0)</f>
        <v>0</v>
      </c>
    </row>
    <row r="22" spans="1:32" ht="22.2" thickTop="1" thickBot="1">
      <c r="A22" s="31"/>
      <c r="B22" s="36" t="s">
        <v>41</v>
      </c>
      <c r="C22" s="28"/>
      <c r="D22" s="28"/>
      <c r="E22" s="28"/>
      <c r="AA22">
        <f t="shared" si="4"/>
        <v>0</v>
      </c>
      <c r="AB22">
        <f t="shared" si="5"/>
        <v>0</v>
      </c>
      <c r="AC22">
        <f t="shared" si="6"/>
        <v>0</v>
      </c>
      <c r="AD22">
        <f t="shared" si="7"/>
        <v>0</v>
      </c>
    </row>
    <row r="23" spans="1:32" ht="22.2" thickTop="1" thickBot="1">
      <c r="A23" s="31"/>
      <c r="B23" s="36" t="s">
        <v>42</v>
      </c>
      <c r="C23" s="28"/>
      <c r="D23" s="28"/>
      <c r="E23" s="28"/>
      <c r="AA23">
        <f t="shared" si="4"/>
        <v>0</v>
      </c>
      <c r="AB23">
        <f t="shared" si="5"/>
        <v>0</v>
      </c>
      <c r="AC23">
        <f t="shared" si="6"/>
        <v>0</v>
      </c>
      <c r="AD23">
        <f t="shared" si="7"/>
        <v>0</v>
      </c>
    </row>
    <row r="24" spans="1:32" ht="22.2" thickTop="1" thickBot="1">
      <c r="A24" s="31"/>
      <c r="B24" s="36" t="s">
        <v>43</v>
      </c>
      <c r="C24" s="28"/>
      <c r="D24" s="28"/>
      <c r="E24" s="28"/>
      <c r="AA24">
        <f t="shared" si="4"/>
        <v>0</v>
      </c>
      <c r="AB24">
        <f t="shared" si="5"/>
        <v>0</v>
      </c>
      <c r="AC24">
        <f t="shared" si="6"/>
        <v>0</v>
      </c>
      <c r="AD24">
        <f t="shared" si="7"/>
        <v>0</v>
      </c>
    </row>
    <row r="25" spans="1:32" ht="22.2" thickTop="1" thickBot="1">
      <c r="A25" s="31"/>
      <c r="B25" s="36" t="s">
        <v>44</v>
      </c>
      <c r="C25" s="28"/>
      <c r="D25" s="28"/>
      <c r="E25" s="28"/>
      <c r="AA25">
        <f t="shared" si="4"/>
        <v>0</v>
      </c>
      <c r="AB25">
        <f t="shared" si="5"/>
        <v>0</v>
      </c>
      <c r="AC25">
        <f t="shared" si="6"/>
        <v>0</v>
      </c>
      <c r="AD25">
        <f t="shared" si="7"/>
        <v>0</v>
      </c>
    </row>
    <row r="26" spans="1:32" ht="22.2" thickTop="1" thickBot="1">
      <c r="A26" s="31"/>
      <c r="B26" s="36" t="s">
        <v>45</v>
      </c>
      <c r="C26" s="28"/>
      <c r="D26" s="28"/>
      <c r="E26" s="28"/>
      <c r="AA26">
        <f t="shared" si="4"/>
        <v>0</v>
      </c>
      <c r="AB26">
        <f t="shared" si="5"/>
        <v>0</v>
      </c>
      <c r="AC26">
        <f t="shared" si="6"/>
        <v>0</v>
      </c>
      <c r="AD26">
        <f t="shared" si="7"/>
        <v>0</v>
      </c>
    </row>
    <row r="27" spans="1:32" ht="22.2" thickTop="1" thickBot="1">
      <c r="A27" s="31"/>
      <c r="B27" s="36" t="s">
        <v>46</v>
      </c>
      <c r="C27" s="28"/>
      <c r="D27" s="28"/>
      <c r="E27" s="28"/>
      <c r="AA27">
        <f t="shared" si="4"/>
        <v>0</v>
      </c>
      <c r="AB27">
        <f t="shared" si="5"/>
        <v>0</v>
      </c>
      <c r="AC27">
        <f t="shared" si="6"/>
        <v>0</v>
      </c>
      <c r="AD27">
        <f t="shared" si="7"/>
        <v>0</v>
      </c>
    </row>
    <row r="28" spans="1:32" ht="22.2" thickTop="1" thickBot="1">
      <c r="A28" s="31"/>
      <c r="B28" s="36" t="s">
        <v>47</v>
      </c>
      <c r="C28" s="28"/>
      <c r="D28" s="28"/>
      <c r="E28" s="28"/>
      <c r="AA28">
        <f t="shared" si="4"/>
        <v>0</v>
      </c>
      <c r="AB28">
        <f t="shared" si="5"/>
        <v>0</v>
      </c>
      <c r="AC28">
        <f t="shared" si="6"/>
        <v>0</v>
      </c>
      <c r="AD28">
        <f t="shared" si="7"/>
        <v>0</v>
      </c>
    </row>
    <row r="29" spans="1:32" ht="22.2" thickTop="1" thickBot="1">
      <c r="A29" s="31"/>
      <c r="B29" s="36" t="s">
        <v>48</v>
      </c>
      <c r="C29" s="28"/>
      <c r="D29" s="28"/>
      <c r="E29" s="28"/>
      <c r="AA29">
        <f t="shared" si="4"/>
        <v>0</v>
      </c>
      <c r="AB29">
        <f t="shared" si="5"/>
        <v>0</v>
      </c>
      <c r="AC29">
        <f t="shared" si="6"/>
        <v>0</v>
      </c>
      <c r="AD29">
        <f t="shared" si="7"/>
        <v>0</v>
      </c>
    </row>
    <row r="30" spans="1:32" ht="22.2" thickTop="1" thickBot="1">
      <c r="A30" s="31"/>
      <c r="B30" s="36" t="s">
        <v>49</v>
      </c>
      <c r="C30" s="28"/>
      <c r="D30" s="28"/>
      <c r="E30" s="28"/>
      <c r="AA30">
        <f t="shared" si="4"/>
        <v>0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2" ht="22.2" thickTop="1" thickBot="1">
      <c r="A31" s="31"/>
      <c r="B31" s="36" t="s">
        <v>50</v>
      </c>
      <c r="C31" s="28"/>
      <c r="D31" s="28"/>
      <c r="E31" s="28"/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</row>
    <row r="32" spans="1:32" ht="22.2" thickTop="1" thickBot="1">
      <c r="A32" s="31"/>
      <c r="B32" s="36" t="s">
        <v>51</v>
      </c>
      <c r="C32" s="28"/>
      <c r="D32" s="28"/>
      <c r="E32" s="28"/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0</v>
      </c>
    </row>
    <row r="33" spans="1:32" ht="42" thickTop="1" thickBot="1">
      <c r="A33" s="26" t="s">
        <v>52</v>
      </c>
      <c r="B33" s="27" t="s">
        <v>53</v>
      </c>
      <c r="C33" s="28"/>
      <c r="D33" s="28"/>
      <c r="E33" s="28"/>
      <c r="AA33">
        <f t="shared" si="4"/>
        <v>0</v>
      </c>
      <c r="AB33">
        <f t="shared" si="5"/>
        <v>0</v>
      </c>
      <c r="AC33">
        <f t="shared" si="6"/>
        <v>0</v>
      </c>
      <c r="AD33">
        <f t="shared" si="7"/>
        <v>0</v>
      </c>
    </row>
    <row r="34" spans="1:32" ht="42" thickTop="1" thickBot="1">
      <c r="A34" s="26" t="s">
        <v>54</v>
      </c>
      <c r="B34" s="27" t="s">
        <v>55</v>
      </c>
      <c r="C34" s="28"/>
      <c r="D34" s="28"/>
      <c r="E34" s="28"/>
      <c r="AA34">
        <f t="shared" si="4"/>
        <v>0</v>
      </c>
      <c r="AB34">
        <f t="shared" si="5"/>
        <v>0</v>
      </c>
      <c r="AC34">
        <f t="shared" si="6"/>
        <v>0</v>
      </c>
      <c r="AD34">
        <f t="shared" si="7"/>
        <v>0</v>
      </c>
    </row>
    <row r="35" spans="1:32" ht="42" thickTop="1" thickBot="1">
      <c r="A35" s="29" t="s">
        <v>56</v>
      </c>
      <c r="B35" s="37" t="s">
        <v>57</v>
      </c>
      <c r="C35" s="23" t="s">
        <v>58</v>
      </c>
      <c r="D35" s="24"/>
      <c r="E35" s="25" t="str">
        <f>"Quotation: "&amp;ROUND((AE35/AF35)*100,2)&amp;"%"</f>
        <v>Quotation: 0%</v>
      </c>
      <c r="AE35">
        <f>SUM(AA36:AA45)+SUM(AB36:AB45)*0.5</f>
        <v>0</v>
      </c>
      <c r="AF35">
        <f>COUNT(AA36:AA45)-SUM(AD36:AD45)</f>
        <v>10</v>
      </c>
    </row>
    <row r="36" spans="1:32" ht="43.2" thickTop="1" thickBot="1">
      <c r="A36" s="26" t="s">
        <v>59</v>
      </c>
      <c r="B36" s="30" t="s">
        <v>60</v>
      </c>
      <c r="C36" s="28"/>
      <c r="D36" s="28"/>
      <c r="E36" s="28"/>
      <c r="AA36">
        <f t="shared" ref="AA36:AA45" si="8">IF(C36="Met",1,0)</f>
        <v>0</v>
      </c>
      <c r="AB36">
        <f t="shared" ref="AB36:AB45" si="9">IF(C36="Partially Met",1,0)</f>
        <v>0</v>
      </c>
      <c r="AC36">
        <f t="shared" ref="AC36:AC45" si="10">IF(C36="UnMet",1,0)</f>
        <v>0</v>
      </c>
      <c r="AD36">
        <f t="shared" ref="AD36:AD45" si="11">IF(C36="Not Applicable",1,0)</f>
        <v>0</v>
      </c>
    </row>
    <row r="37" spans="1:32" ht="42" thickTop="1" thickBot="1">
      <c r="A37" s="26" t="s">
        <v>61</v>
      </c>
      <c r="B37" s="30" t="s">
        <v>62</v>
      </c>
      <c r="C37" s="28"/>
      <c r="D37" s="28"/>
      <c r="E37" s="28"/>
      <c r="AA37">
        <f t="shared" si="8"/>
        <v>0</v>
      </c>
      <c r="AB37">
        <f t="shared" si="9"/>
        <v>0</v>
      </c>
      <c r="AC37">
        <f t="shared" si="10"/>
        <v>0</v>
      </c>
      <c r="AD37">
        <f t="shared" si="11"/>
        <v>0</v>
      </c>
    </row>
    <row r="38" spans="1:32" ht="43.2" thickTop="1" thickBot="1">
      <c r="A38" s="26" t="s">
        <v>63</v>
      </c>
      <c r="B38" s="30" t="s">
        <v>64</v>
      </c>
      <c r="C38" s="28"/>
      <c r="D38" s="28"/>
      <c r="E38" s="28"/>
      <c r="AA38">
        <f t="shared" si="8"/>
        <v>0</v>
      </c>
      <c r="AB38">
        <f t="shared" si="9"/>
        <v>0</v>
      </c>
      <c r="AC38">
        <f t="shared" si="10"/>
        <v>0</v>
      </c>
      <c r="AD38">
        <f t="shared" si="11"/>
        <v>0</v>
      </c>
    </row>
    <row r="39" spans="1:32" ht="43.2" thickTop="1" thickBot="1">
      <c r="A39" s="26" t="s">
        <v>65</v>
      </c>
      <c r="B39" s="30" t="s">
        <v>66</v>
      </c>
      <c r="C39" s="28"/>
      <c r="D39" s="28"/>
      <c r="E39" s="28"/>
      <c r="AA39">
        <f t="shared" si="8"/>
        <v>0</v>
      </c>
      <c r="AB39">
        <f t="shared" si="9"/>
        <v>0</v>
      </c>
      <c r="AC39">
        <f t="shared" si="10"/>
        <v>0</v>
      </c>
      <c r="AD39">
        <f t="shared" si="11"/>
        <v>0</v>
      </c>
    </row>
    <row r="40" spans="1:32" ht="42" thickTop="1" thickBot="1">
      <c r="A40" s="26" t="s">
        <v>67</v>
      </c>
      <c r="B40" s="30" t="s">
        <v>68</v>
      </c>
      <c r="C40" s="28"/>
      <c r="D40" s="28"/>
      <c r="E40" s="28"/>
      <c r="AA40">
        <f t="shared" si="8"/>
        <v>0</v>
      </c>
      <c r="AB40">
        <f t="shared" si="9"/>
        <v>0</v>
      </c>
      <c r="AC40">
        <f t="shared" si="10"/>
        <v>0</v>
      </c>
      <c r="AD40">
        <f t="shared" si="11"/>
        <v>0</v>
      </c>
    </row>
    <row r="41" spans="1:32" ht="22.2" thickTop="1" thickBot="1">
      <c r="A41" s="26" t="s">
        <v>69</v>
      </c>
      <c r="B41" s="30" t="s">
        <v>70</v>
      </c>
      <c r="C41" s="28"/>
      <c r="D41" s="28"/>
      <c r="E41" s="28"/>
      <c r="AA41">
        <f t="shared" si="8"/>
        <v>0</v>
      </c>
      <c r="AB41">
        <f t="shared" si="9"/>
        <v>0</v>
      </c>
      <c r="AC41">
        <f t="shared" si="10"/>
        <v>0</v>
      </c>
      <c r="AD41">
        <f t="shared" si="11"/>
        <v>0</v>
      </c>
    </row>
    <row r="42" spans="1:32" ht="42" thickTop="1" thickBot="1">
      <c r="A42" s="26" t="s">
        <v>71</v>
      </c>
      <c r="B42" s="30" t="s">
        <v>72</v>
      </c>
      <c r="C42" s="28"/>
      <c r="D42" s="28"/>
      <c r="E42" s="28"/>
      <c r="AA42">
        <f t="shared" si="8"/>
        <v>0</v>
      </c>
      <c r="AB42">
        <f t="shared" si="9"/>
        <v>0</v>
      </c>
      <c r="AC42">
        <f t="shared" si="10"/>
        <v>0</v>
      </c>
      <c r="AD42">
        <f t="shared" si="11"/>
        <v>0</v>
      </c>
    </row>
    <row r="43" spans="1:32" ht="42" thickTop="1" thickBot="1">
      <c r="A43" s="26" t="s">
        <v>73</v>
      </c>
      <c r="B43" s="30" t="s">
        <v>74</v>
      </c>
      <c r="C43" s="28"/>
      <c r="D43" s="28"/>
      <c r="E43" s="28"/>
      <c r="AA43">
        <f t="shared" si="8"/>
        <v>0</v>
      </c>
      <c r="AB43">
        <f t="shared" si="9"/>
        <v>0</v>
      </c>
      <c r="AC43">
        <f t="shared" si="10"/>
        <v>0</v>
      </c>
      <c r="AD43">
        <f t="shared" si="11"/>
        <v>0</v>
      </c>
    </row>
    <row r="44" spans="1:32" ht="22.2" thickTop="1" thickBot="1">
      <c r="A44" s="26" t="s">
        <v>75</v>
      </c>
      <c r="B44" s="30" t="s">
        <v>76</v>
      </c>
      <c r="C44" s="28"/>
      <c r="D44" s="28"/>
      <c r="E44" s="28"/>
      <c r="AA44">
        <f t="shared" si="8"/>
        <v>0</v>
      </c>
      <c r="AB44">
        <f t="shared" si="9"/>
        <v>0</v>
      </c>
      <c r="AC44">
        <f t="shared" si="10"/>
        <v>0</v>
      </c>
      <c r="AD44">
        <f t="shared" si="11"/>
        <v>0</v>
      </c>
    </row>
    <row r="45" spans="1:32" ht="43.2" thickTop="1" thickBot="1">
      <c r="A45" s="26" t="s">
        <v>77</v>
      </c>
      <c r="B45" s="30" t="s">
        <v>78</v>
      </c>
      <c r="C45" s="28"/>
      <c r="D45" s="28"/>
      <c r="E45" s="28"/>
      <c r="AA45">
        <f t="shared" si="8"/>
        <v>0</v>
      </c>
      <c r="AB45">
        <f t="shared" si="9"/>
        <v>0</v>
      </c>
      <c r="AC45">
        <f t="shared" si="10"/>
        <v>0</v>
      </c>
      <c r="AD45">
        <f t="shared" si="11"/>
        <v>0</v>
      </c>
    </row>
    <row r="46" spans="1:32" ht="42" thickTop="1" thickBot="1">
      <c r="A46" s="29" t="s">
        <v>79</v>
      </c>
      <c r="B46" s="38" t="s">
        <v>80</v>
      </c>
      <c r="C46" s="23" t="s">
        <v>81</v>
      </c>
      <c r="D46" s="24"/>
      <c r="E46" s="25" t="str">
        <f>"Quotation: "&amp;ROUND((AE46/AF46)*100,2)&amp;"%"</f>
        <v>Quotation: 0%</v>
      </c>
      <c r="AE46">
        <f>SUM(AA47:AA65)+SUM(AB47:AB65)*0.5</f>
        <v>0</v>
      </c>
      <c r="AF46">
        <f>COUNT(AA47:AA65)-SUM(AD47:AD65)</f>
        <v>19</v>
      </c>
    </row>
    <row r="47" spans="1:32" ht="22.2" thickTop="1" thickBot="1">
      <c r="A47" s="39"/>
      <c r="B47" s="40" t="s">
        <v>82</v>
      </c>
      <c r="C47" s="41"/>
      <c r="D47" s="42"/>
      <c r="E47" s="43"/>
      <c r="AA47">
        <f t="shared" ref="AA47:AA65" si="12">IF(C47="Met",1,0)</f>
        <v>0</v>
      </c>
      <c r="AB47">
        <f t="shared" ref="AB47:AB65" si="13">IF(C47="Partially Met",1,0)</f>
        <v>0</v>
      </c>
      <c r="AC47">
        <f t="shared" ref="AC47:AC65" si="14">IF(C47="UnMet",1,0)</f>
        <v>0</v>
      </c>
      <c r="AD47">
        <f t="shared" ref="AD47:AD65" si="15">IF(C47="Not Applicable",1,0)</f>
        <v>0</v>
      </c>
    </row>
    <row r="48" spans="1:32" ht="22.2" thickTop="1" thickBot="1">
      <c r="A48" s="39"/>
      <c r="B48" s="44" t="s">
        <v>83</v>
      </c>
      <c r="C48" s="28"/>
      <c r="D48" s="28"/>
      <c r="E48" s="28"/>
      <c r="AA48">
        <f t="shared" si="12"/>
        <v>0</v>
      </c>
      <c r="AB48">
        <f t="shared" si="13"/>
        <v>0</v>
      </c>
      <c r="AC48">
        <f t="shared" si="14"/>
        <v>0</v>
      </c>
      <c r="AD48">
        <f t="shared" si="15"/>
        <v>0</v>
      </c>
    </row>
    <row r="49" spans="1:30" ht="43.2" thickTop="1" thickBot="1">
      <c r="A49" s="39"/>
      <c r="B49" s="44" t="s">
        <v>84</v>
      </c>
      <c r="C49" s="28"/>
      <c r="D49" s="28"/>
      <c r="E49" s="28"/>
      <c r="AA49">
        <f t="shared" si="12"/>
        <v>0</v>
      </c>
      <c r="AB49">
        <f t="shared" si="13"/>
        <v>0</v>
      </c>
      <c r="AC49">
        <f t="shared" si="14"/>
        <v>0</v>
      </c>
      <c r="AD49">
        <f t="shared" si="15"/>
        <v>0</v>
      </c>
    </row>
    <row r="50" spans="1:30" ht="22.2" thickTop="1" thickBot="1">
      <c r="A50" s="39"/>
      <c r="B50" s="44" t="s">
        <v>85</v>
      </c>
      <c r="C50" s="28"/>
      <c r="D50" s="28"/>
      <c r="E50" s="28"/>
      <c r="AA50">
        <f t="shared" si="12"/>
        <v>0</v>
      </c>
      <c r="AB50">
        <f t="shared" si="13"/>
        <v>0</v>
      </c>
      <c r="AC50">
        <f t="shared" si="14"/>
        <v>0</v>
      </c>
      <c r="AD50">
        <f t="shared" si="15"/>
        <v>0</v>
      </c>
    </row>
    <row r="51" spans="1:30" ht="22.2" thickTop="1" thickBot="1">
      <c r="A51" s="39"/>
      <c r="B51" s="44" t="s">
        <v>86</v>
      </c>
      <c r="C51" s="28"/>
      <c r="D51" s="28"/>
      <c r="E51" s="28"/>
      <c r="AA51">
        <f t="shared" si="12"/>
        <v>0</v>
      </c>
      <c r="AB51">
        <f t="shared" si="13"/>
        <v>0</v>
      </c>
      <c r="AC51">
        <f t="shared" si="14"/>
        <v>0</v>
      </c>
      <c r="AD51">
        <f t="shared" si="15"/>
        <v>0</v>
      </c>
    </row>
    <row r="52" spans="1:30" ht="22.2" thickTop="1" thickBot="1">
      <c r="A52" s="39"/>
      <c r="B52" s="44" t="s">
        <v>87</v>
      </c>
      <c r="C52" s="28"/>
      <c r="D52" s="28"/>
      <c r="E52" s="28"/>
      <c r="AA52">
        <f t="shared" si="12"/>
        <v>0</v>
      </c>
      <c r="AB52">
        <f t="shared" si="13"/>
        <v>0</v>
      </c>
      <c r="AC52">
        <f t="shared" si="14"/>
        <v>0</v>
      </c>
      <c r="AD52">
        <f t="shared" si="15"/>
        <v>0</v>
      </c>
    </row>
    <row r="53" spans="1:30" ht="22.2" thickTop="1" thickBot="1">
      <c r="A53" s="39"/>
      <c r="B53" s="44" t="s">
        <v>88</v>
      </c>
      <c r="C53" s="28"/>
      <c r="D53" s="28"/>
      <c r="E53" s="28"/>
      <c r="AA53">
        <f t="shared" si="12"/>
        <v>0</v>
      </c>
      <c r="AB53">
        <f t="shared" si="13"/>
        <v>0</v>
      </c>
      <c r="AC53">
        <f t="shared" si="14"/>
        <v>0</v>
      </c>
      <c r="AD53">
        <f t="shared" si="15"/>
        <v>0</v>
      </c>
    </row>
    <row r="54" spans="1:30" ht="22.2" thickTop="1" thickBot="1">
      <c r="A54" s="39"/>
      <c r="B54" s="44" t="s">
        <v>89</v>
      </c>
      <c r="C54" s="28"/>
      <c r="D54" s="28"/>
      <c r="E54" s="28"/>
      <c r="AA54">
        <f t="shared" si="12"/>
        <v>0</v>
      </c>
      <c r="AB54">
        <f t="shared" si="13"/>
        <v>0</v>
      </c>
      <c r="AC54">
        <f t="shared" si="14"/>
        <v>0</v>
      </c>
      <c r="AD54">
        <f t="shared" si="15"/>
        <v>0</v>
      </c>
    </row>
    <row r="55" spans="1:30" ht="22.2" thickTop="1" thickBot="1">
      <c r="A55" s="39"/>
      <c r="B55" s="44" t="s">
        <v>90</v>
      </c>
      <c r="C55" s="28"/>
      <c r="D55" s="28"/>
      <c r="E55" s="28"/>
      <c r="AA55">
        <f t="shared" si="12"/>
        <v>0</v>
      </c>
      <c r="AB55">
        <f t="shared" si="13"/>
        <v>0</v>
      </c>
      <c r="AC55">
        <f t="shared" si="14"/>
        <v>0</v>
      </c>
      <c r="AD55">
        <f t="shared" si="15"/>
        <v>0</v>
      </c>
    </row>
    <row r="56" spans="1:30" ht="22.2" thickTop="1" thickBot="1">
      <c r="A56" s="39"/>
      <c r="B56" s="44" t="s">
        <v>91</v>
      </c>
      <c r="C56" s="28"/>
      <c r="D56" s="28"/>
      <c r="E56" s="28"/>
      <c r="AA56">
        <f t="shared" si="12"/>
        <v>0</v>
      </c>
      <c r="AB56">
        <f t="shared" si="13"/>
        <v>0</v>
      </c>
      <c r="AC56">
        <f t="shared" si="14"/>
        <v>0</v>
      </c>
      <c r="AD56">
        <f t="shared" si="15"/>
        <v>0</v>
      </c>
    </row>
    <row r="57" spans="1:30" ht="22.2" thickTop="1" thickBot="1">
      <c r="A57" s="39"/>
      <c r="B57" s="44" t="s">
        <v>92</v>
      </c>
      <c r="C57" s="28"/>
      <c r="D57" s="28"/>
      <c r="E57" s="28"/>
      <c r="AA57">
        <f t="shared" si="12"/>
        <v>0</v>
      </c>
      <c r="AB57">
        <f t="shared" si="13"/>
        <v>0</v>
      </c>
      <c r="AC57">
        <f t="shared" si="14"/>
        <v>0</v>
      </c>
      <c r="AD57">
        <f t="shared" si="15"/>
        <v>0</v>
      </c>
    </row>
    <row r="58" spans="1:30" ht="22.2" thickTop="1" thickBot="1">
      <c r="A58" s="39"/>
      <c r="B58" s="44" t="s">
        <v>93</v>
      </c>
      <c r="C58" s="28"/>
      <c r="D58" s="28"/>
      <c r="E58" s="28"/>
      <c r="AA58">
        <f t="shared" si="12"/>
        <v>0</v>
      </c>
      <c r="AB58">
        <f t="shared" si="13"/>
        <v>0</v>
      </c>
      <c r="AC58">
        <f t="shared" si="14"/>
        <v>0</v>
      </c>
      <c r="AD58">
        <f t="shared" si="15"/>
        <v>0</v>
      </c>
    </row>
    <row r="59" spans="1:30" ht="22.2" thickTop="1" thickBot="1">
      <c r="A59" s="39"/>
      <c r="B59" s="44" t="s">
        <v>94</v>
      </c>
      <c r="C59" s="28"/>
      <c r="D59" s="28"/>
      <c r="E59" s="28"/>
      <c r="AA59">
        <f t="shared" si="12"/>
        <v>0</v>
      </c>
      <c r="AB59">
        <f t="shared" si="13"/>
        <v>0</v>
      </c>
      <c r="AC59">
        <f t="shared" si="14"/>
        <v>0</v>
      </c>
      <c r="AD59">
        <f t="shared" si="15"/>
        <v>0</v>
      </c>
    </row>
    <row r="60" spans="1:30" ht="22.2" thickTop="1" thickBot="1">
      <c r="A60" s="39"/>
      <c r="B60" s="44" t="s">
        <v>95</v>
      </c>
      <c r="C60" s="28"/>
      <c r="D60" s="28"/>
      <c r="E60" s="28"/>
      <c r="AA60">
        <f t="shared" si="12"/>
        <v>0</v>
      </c>
      <c r="AB60">
        <f t="shared" si="13"/>
        <v>0</v>
      </c>
      <c r="AC60">
        <f t="shared" si="14"/>
        <v>0</v>
      </c>
      <c r="AD60">
        <f t="shared" si="15"/>
        <v>0</v>
      </c>
    </row>
    <row r="61" spans="1:30" ht="22.2" thickTop="1" thickBot="1">
      <c r="A61" s="39"/>
      <c r="B61" s="44" t="s">
        <v>96</v>
      </c>
      <c r="C61" s="28"/>
      <c r="D61" s="28"/>
      <c r="E61" s="28"/>
      <c r="AA61">
        <f t="shared" si="12"/>
        <v>0</v>
      </c>
      <c r="AB61">
        <f t="shared" si="13"/>
        <v>0</v>
      </c>
      <c r="AC61">
        <f t="shared" si="14"/>
        <v>0</v>
      </c>
      <c r="AD61">
        <f t="shared" si="15"/>
        <v>0</v>
      </c>
    </row>
    <row r="62" spans="1:30" ht="42" thickTop="1" thickBot="1">
      <c r="A62" s="26" t="s">
        <v>97</v>
      </c>
      <c r="B62" s="27" t="s">
        <v>98</v>
      </c>
      <c r="C62" s="28"/>
      <c r="D62" s="28"/>
      <c r="E62" s="28"/>
      <c r="AA62">
        <f t="shared" si="12"/>
        <v>0</v>
      </c>
      <c r="AB62">
        <f t="shared" si="13"/>
        <v>0</v>
      </c>
      <c r="AC62">
        <f t="shared" si="14"/>
        <v>0</v>
      </c>
      <c r="AD62">
        <f t="shared" si="15"/>
        <v>0</v>
      </c>
    </row>
    <row r="63" spans="1:30" ht="42" thickTop="1" thickBot="1">
      <c r="A63" s="26" t="s">
        <v>99</v>
      </c>
      <c r="B63" s="27" t="s">
        <v>100</v>
      </c>
      <c r="C63" s="28"/>
      <c r="D63" s="28"/>
      <c r="E63" s="28"/>
      <c r="AA63">
        <f t="shared" si="12"/>
        <v>0</v>
      </c>
      <c r="AB63">
        <f t="shared" si="13"/>
        <v>0</v>
      </c>
      <c r="AC63">
        <f t="shared" si="14"/>
        <v>0</v>
      </c>
      <c r="AD63">
        <f t="shared" si="15"/>
        <v>0</v>
      </c>
    </row>
    <row r="64" spans="1:30" ht="42" thickTop="1" thickBot="1">
      <c r="A64" s="26" t="s">
        <v>101</v>
      </c>
      <c r="B64" s="27" t="s">
        <v>102</v>
      </c>
      <c r="C64" s="28"/>
      <c r="D64" s="28"/>
      <c r="E64" s="28"/>
      <c r="AA64">
        <f t="shared" si="12"/>
        <v>0</v>
      </c>
      <c r="AB64">
        <f t="shared" si="13"/>
        <v>0</v>
      </c>
      <c r="AC64">
        <f t="shared" si="14"/>
        <v>0</v>
      </c>
      <c r="AD64">
        <f t="shared" si="15"/>
        <v>0</v>
      </c>
    </row>
    <row r="65" spans="1:32" ht="42" thickTop="1" thickBot="1">
      <c r="A65" s="26" t="s">
        <v>103</v>
      </c>
      <c r="B65" s="27" t="s">
        <v>104</v>
      </c>
      <c r="C65" s="28"/>
      <c r="D65" s="28"/>
      <c r="E65" s="28"/>
      <c r="AA65">
        <f t="shared" si="12"/>
        <v>0</v>
      </c>
      <c r="AB65">
        <f t="shared" si="13"/>
        <v>0</v>
      </c>
      <c r="AC65">
        <f t="shared" si="14"/>
        <v>0</v>
      </c>
      <c r="AD65">
        <f t="shared" si="15"/>
        <v>0</v>
      </c>
    </row>
    <row r="66" spans="1:32" ht="57" customHeight="1" thickTop="1" thickBot="1">
      <c r="A66" s="29" t="s">
        <v>105</v>
      </c>
      <c r="B66" s="37" t="s">
        <v>106</v>
      </c>
      <c r="C66" s="23" t="s">
        <v>107</v>
      </c>
      <c r="D66" s="24"/>
      <c r="E66" s="25" t="str">
        <f>"Quotation: "&amp;ROUND((AE66/AF66)*100,2)&amp;"%"</f>
        <v>Quotation: 0%</v>
      </c>
      <c r="AE66">
        <f>SUM(AA67:AA82)+SUM(AB67:AB82)*0.5</f>
        <v>0</v>
      </c>
      <c r="AF66">
        <f>COUNT(AA67:AA82)-SUM(AD67:AD82)</f>
        <v>15</v>
      </c>
    </row>
    <row r="67" spans="1:32" ht="22.2" thickTop="1" thickBot="1">
      <c r="A67" s="31" t="s">
        <v>108</v>
      </c>
      <c r="B67" s="40" t="s">
        <v>109</v>
      </c>
      <c r="C67" s="45"/>
      <c r="D67" s="46"/>
      <c r="E67" s="47"/>
    </row>
    <row r="68" spans="1:32" ht="22.2" thickTop="1" thickBot="1">
      <c r="A68" s="31"/>
      <c r="B68" s="44" t="s">
        <v>110</v>
      </c>
      <c r="C68" s="28"/>
      <c r="D68" s="28"/>
      <c r="E68" s="28"/>
      <c r="AA68">
        <f t="shared" ref="AA68:AA82" si="16">IF(C68="Met",1,0)</f>
        <v>0</v>
      </c>
      <c r="AB68">
        <f t="shared" ref="AB68:AB82" si="17">IF(C68="Partially Met",1,0)</f>
        <v>0</v>
      </c>
      <c r="AC68">
        <f t="shared" ref="AC68:AC82" si="18">IF(C68="UnMet",1,0)</f>
        <v>0</v>
      </c>
      <c r="AD68">
        <f t="shared" ref="AD68:AD82" si="19">IF(C68="Not Applicable",1,0)</f>
        <v>0</v>
      </c>
    </row>
    <row r="69" spans="1:32" ht="22.2" thickTop="1" thickBot="1">
      <c r="A69" s="31"/>
      <c r="B69" s="44" t="s">
        <v>111</v>
      </c>
      <c r="C69" s="28"/>
      <c r="D69" s="28"/>
      <c r="E69" s="28"/>
      <c r="AA69">
        <f t="shared" si="16"/>
        <v>0</v>
      </c>
      <c r="AB69">
        <f t="shared" si="17"/>
        <v>0</v>
      </c>
      <c r="AC69">
        <f t="shared" si="18"/>
        <v>0</v>
      </c>
      <c r="AD69">
        <f t="shared" si="19"/>
        <v>0</v>
      </c>
    </row>
    <row r="70" spans="1:32" ht="22.2" thickTop="1" thickBot="1">
      <c r="A70" s="31"/>
      <c r="B70" s="44" t="s">
        <v>112</v>
      </c>
      <c r="C70" s="28"/>
      <c r="D70" s="28"/>
      <c r="E70" s="28"/>
      <c r="AA70">
        <f t="shared" si="16"/>
        <v>0</v>
      </c>
      <c r="AB70">
        <f t="shared" si="17"/>
        <v>0</v>
      </c>
      <c r="AC70">
        <f t="shared" si="18"/>
        <v>0</v>
      </c>
      <c r="AD70">
        <f t="shared" si="19"/>
        <v>0</v>
      </c>
    </row>
    <row r="71" spans="1:32" ht="22.2" thickTop="1" thickBot="1">
      <c r="A71" s="31"/>
      <c r="B71" s="44" t="s">
        <v>113</v>
      </c>
      <c r="C71" s="28"/>
      <c r="D71" s="28"/>
      <c r="E71" s="28"/>
      <c r="AA71">
        <f t="shared" si="16"/>
        <v>0</v>
      </c>
      <c r="AB71">
        <f t="shared" si="17"/>
        <v>0</v>
      </c>
      <c r="AC71">
        <f t="shared" si="18"/>
        <v>0</v>
      </c>
      <c r="AD71">
        <f t="shared" si="19"/>
        <v>0</v>
      </c>
    </row>
    <row r="72" spans="1:32" ht="22.2" thickTop="1" thickBot="1">
      <c r="A72" s="31"/>
      <c r="B72" s="44" t="s">
        <v>114</v>
      </c>
      <c r="C72" s="28"/>
      <c r="D72" s="28"/>
      <c r="E72" s="28"/>
      <c r="AA72">
        <f t="shared" si="16"/>
        <v>0</v>
      </c>
      <c r="AB72">
        <f t="shared" si="17"/>
        <v>0</v>
      </c>
      <c r="AC72">
        <f t="shared" si="18"/>
        <v>0</v>
      </c>
      <c r="AD72">
        <f t="shared" si="19"/>
        <v>0</v>
      </c>
    </row>
    <row r="73" spans="1:32" ht="22.2" thickTop="1" thickBot="1">
      <c r="A73" s="31"/>
      <c r="B73" s="44" t="s">
        <v>115</v>
      </c>
      <c r="C73" s="28"/>
      <c r="D73" s="28"/>
      <c r="E73" s="28"/>
      <c r="AA73">
        <f t="shared" si="16"/>
        <v>0</v>
      </c>
      <c r="AB73">
        <f t="shared" si="17"/>
        <v>0</v>
      </c>
      <c r="AC73">
        <f t="shared" si="18"/>
        <v>0</v>
      </c>
      <c r="AD73">
        <f t="shared" si="19"/>
        <v>0</v>
      </c>
    </row>
    <row r="74" spans="1:32" ht="22.2" thickTop="1" thickBot="1">
      <c r="A74" s="31"/>
      <c r="B74" s="44" t="s">
        <v>116</v>
      </c>
      <c r="C74" s="28"/>
      <c r="D74" s="28"/>
      <c r="E74" s="28"/>
      <c r="AA74">
        <f t="shared" si="16"/>
        <v>0</v>
      </c>
      <c r="AB74">
        <f t="shared" si="17"/>
        <v>0</v>
      </c>
      <c r="AC74">
        <f t="shared" si="18"/>
        <v>0</v>
      </c>
      <c r="AD74">
        <f t="shared" si="19"/>
        <v>0</v>
      </c>
    </row>
    <row r="75" spans="1:32" ht="22.2" thickTop="1" thickBot="1">
      <c r="A75" s="31"/>
      <c r="B75" s="44" t="s">
        <v>117</v>
      </c>
      <c r="C75" s="28"/>
      <c r="D75" s="28"/>
      <c r="E75" s="28"/>
      <c r="AA75">
        <f t="shared" si="16"/>
        <v>0</v>
      </c>
      <c r="AB75">
        <f t="shared" si="17"/>
        <v>0</v>
      </c>
      <c r="AC75">
        <f t="shared" si="18"/>
        <v>0</v>
      </c>
      <c r="AD75">
        <f t="shared" si="19"/>
        <v>0</v>
      </c>
    </row>
    <row r="76" spans="1:32" ht="22.2" thickTop="1" thickBot="1">
      <c r="A76" s="31"/>
      <c r="B76" s="44" t="s">
        <v>118</v>
      </c>
      <c r="C76" s="28"/>
      <c r="D76" s="28"/>
      <c r="E76" s="28"/>
      <c r="AA76">
        <f t="shared" si="16"/>
        <v>0</v>
      </c>
      <c r="AB76">
        <f t="shared" si="17"/>
        <v>0</v>
      </c>
      <c r="AC76">
        <f t="shared" si="18"/>
        <v>0</v>
      </c>
      <c r="AD76">
        <f t="shared" si="19"/>
        <v>0</v>
      </c>
    </row>
    <row r="77" spans="1:32" ht="22.2" thickTop="1" thickBot="1">
      <c r="A77" s="31"/>
      <c r="B77" s="44" t="s">
        <v>119</v>
      </c>
      <c r="C77" s="28"/>
      <c r="D77" s="28"/>
      <c r="E77" s="28"/>
      <c r="AA77">
        <f t="shared" si="16"/>
        <v>0</v>
      </c>
      <c r="AB77">
        <f t="shared" si="17"/>
        <v>0</v>
      </c>
      <c r="AC77">
        <f t="shared" si="18"/>
        <v>0</v>
      </c>
      <c r="AD77">
        <f t="shared" si="19"/>
        <v>0</v>
      </c>
    </row>
    <row r="78" spans="1:32" ht="22.2" thickTop="1" thickBot="1">
      <c r="A78" s="31"/>
      <c r="B78" s="44" t="s">
        <v>120</v>
      </c>
      <c r="C78" s="28"/>
      <c r="D78" s="28"/>
      <c r="E78" s="28"/>
      <c r="AA78">
        <f t="shared" si="16"/>
        <v>0</v>
      </c>
      <c r="AB78">
        <f t="shared" si="17"/>
        <v>0</v>
      </c>
      <c r="AC78">
        <f t="shared" si="18"/>
        <v>0</v>
      </c>
      <c r="AD78">
        <f t="shared" si="19"/>
        <v>0</v>
      </c>
    </row>
    <row r="79" spans="1:32" ht="22.2" thickTop="1" thickBot="1">
      <c r="A79" s="31"/>
      <c r="B79" s="44" t="s">
        <v>121</v>
      </c>
      <c r="C79" s="28"/>
      <c r="D79" s="28"/>
      <c r="E79" s="28"/>
      <c r="AA79">
        <f t="shared" si="16"/>
        <v>0</v>
      </c>
      <c r="AB79">
        <f t="shared" si="17"/>
        <v>0</v>
      </c>
      <c r="AC79">
        <f t="shared" si="18"/>
        <v>0</v>
      </c>
      <c r="AD79">
        <f t="shared" si="19"/>
        <v>0</v>
      </c>
    </row>
    <row r="80" spans="1:32" ht="42" thickTop="1" thickBot="1">
      <c r="A80" s="26" t="s">
        <v>122</v>
      </c>
      <c r="B80" s="27" t="s">
        <v>123</v>
      </c>
      <c r="C80" s="28"/>
      <c r="D80" s="28"/>
      <c r="E80" s="28"/>
      <c r="AA80">
        <f t="shared" si="16"/>
        <v>0</v>
      </c>
      <c r="AB80">
        <f t="shared" si="17"/>
        <v>0</v>
      </c>
      <c r="AC80">
        <f t="shared" si="18"/>
        <v>0</v>
      </c>
      <c r="AD80">
        <f t="shared" si="19"/>
        <v>0</v>
      </c>
    </row>
    <row r="81" spans="1:32" ht="42" thickTop="1" thickBot="1">
      <c r="A81" s="48" t="s">
        <v>124</v>
      </c>
      <c r="B81" s="30" t="s">
        <v>125</v>
      </c>
      <c r="C81" s="28"/>
      <c r="D81" s="28"/>
      <c r="E81" s="28"/>
      <c r="AA81">
        <f t="shared" si="16"/>
        <v>0</v>
      </c>
      <c r="AB81">
        <f t="shared" si="17"/>
        <v>0</v>
      </c>
      <c r="AC81">
        <f t="shared" si="18"/>
        <v>0</v>
      </c>
      <c r="AD81">
        <f t="shared" si="19"/>
        <v>0</v>
      </c>
    </row>
    <row r="82" spans="1:32" ht="43.2" thickTop="1" thickBot="1">
      <c r="A82" s="49" t="s">
        <v>126</v>
      </c>
      <c r="B82" s="27" t="s">
        <v>127</v>
      </c>
      <c r="C82" s="28"/>
      <c r="D82" s="28"/>
      <c r="E82" s="28"/>
      <c r="AA82">
        <f t="shared" si="16"/>
        <v>0</v>
      </c>
      <c r="AB82">
        <f t="shared" si="17"/>
        <v>0</v>
      </c>
      <c r="AC82">
        <f t="shared" si="18"/>
        <v>0</v>
      </c>
      <c r="AD82">
        <f t="shared" si="19"/>
        <v>0</v>
      </c>
    </row>
    <row r="83" spans="1:32" ht="61.5" customHeight="1" thickTop="1" thickBot="1">
      <c r="A83" s="29" t="s">
        <v>128</v>
      </c>
      <c r="B83" s="37" t="s">
        <v>129</v>
      </c>
      <c r="C83" s="23" t="s">
        <v>130</v>
      </c>
      <c r="D83" s="24"/>
      <c r="E83" s="25" t="str">
        <f>"Quotation: "&amp;ROUND((AE83/AF83)*100,2)&amp;"%"</f>
        <v>Quotation: 0%</v>
      </c>
      <c r="AE83">
        <f>SUM(AA84:AA105)+SUM(AB84:AB105)*0.5</f>
        <v>0</v>
      </c>
      <c r="AF83">
        <f>COUNT(AA84:AA105)-SUM(AD84:AD105)</f>
        <v>20</v>
      </c>
    </row>
    <row r="84" spans="1:32" ht="43.5" customHeight="1" thickTop="1" thickBot="1">
      <c r="A84" s="49" t="s">
        <v>131</v>
      </c>
      <c r="B84" s="50" t="s">
        <v>132</v>
      </c>
      <c r="C84" s="51"/>
      <c r="D84" s="51"/>
      <c r="E84" s="51"/>
      <c r="AA84">
        <f>IF(C84="Met",1,0)</f>
        <v>0</v>
      </c>
      <c r="AB84">
        <f>IF(C84="Partially Met",1,0)</f>
        <v>0</v>
      </c>
      <c r="AC84">
        <f>IF(C84="UnMet",1,0)</f>
        <v>0</v>
      </c>
      <c r="AD84">
        <f>IF(C84="Not Applicable",1,0)</f>
        <v>0</v>
      </c>
    </row>
    <row r="85" spans="1:32" ht="43.2" thickTop="1" thickBot="1">
      <c r="A85" s="31" t="s">
        <v>133</v>
      </c>
      <c r="B85" s="52" t="s">
        <v>134</v>
      </c>
      <c r="C85" s="45"/>
      <c r="D85" s="46"/>
      <c r="E85" s="47"/>
    </row>
    <row r="86" spans="1:32" ht="22.2" thickTop="1" thickBot="1">
      <c r="A86" s="31"/>
      <c r="B86" s="44" t="s">
        <v>135</v>
      </c>
      <c r="C86" s="28"/>
      <c r="D86" s="28"/>
      <c r="E86" s="28"/>
      <c r="AA86">
        <f t="shared" ref="AA86:AA91" si="20">IF(C86="Met",1,0)</f>
        <v>0</v>
      </c>
      <c r="AB86">
        <f t="shared" ref="AB86:AB91" si="21">IF(C86="Partially Met",1,0)</f>
        <v>0</v>
      </c>
      <c r="AC86">
        <f t="shared" ref="AC86:AC91" si="22">IF(C86="UnMet",1,0)</f>
        <v>0</v>
      </c>
      <c r="AD86">
        <f t="shared" ref="AD86:AD91" si="23">IF(C86="Not Applicable",1,0)</f>
        <v>0</v>
      </c>
    </row>
    <row r="87" spans="1:32" ht="22.2" thickTop="1" thickBot="1">
      <c r="A87" s="31"/>
      <c r="B87" s="44" t="s">
        <v>136</v>
      </c>
      <c r="C87" s="28"/>
      <c r="D87" s="28"/>
      <c r="E87" s="28"/>
      <c r="AA87">
        <f t="shared" si="20"/>
        <v>0</v>
      </c>
      <c r="AB87">
        <f t="shared" si="21"/>
        <v>0</v>
      </c>
      <c r="AC87">
        <f t="shared" si="22"/>
        <v>0</v>
      </c>
      <c r="AD87">
        <f t="shared" si="23"/>
        <v>0</v>
      </c>
    </row>
    <row r="88" spans="1:32" ht="22.2" thickTop="1" thickBot="1">
      <c r="A88" s="31"/>
      <c r="B88" s="44" t="s">
        <v>137</v>
      </c>
      <c r="C88" s="28"/>
      <c r="D88" s="28"/>
      <c r="E88" s="28"/>
      <c r="AA88">
        <f t="shared" si="20"/>
        <v>0</v>
      </c>
      <c r="AB88">
        <f t="shared" si="21"/>
        <v>0</v>
      </c>
      <c r="AC88">
        <f t="shared" si="22"/>
        <v>0</v>
      </c>
      <c r="AD88">
        <f t="shared" si="23"/>
        <v>0</v>
      </c>
    </row>
    <row r="89" spans="1:32" ht="22.2" thickTop="1" thickBot="1">
      <c r="A89" s="31"/>
      <c r="B89" s="44" t="s">
        <v>138</v>
      </c>
      <c r="C89" s="28"/>
      <c r="D89" s="28"/>
      <c r="E89" s="28"/>
      <c r="AA89">
        <f t="shared" si="20"/>
        <v>0</v>
      </c>
      <c r="AB89">
        <f t="shared" si="21"/>
        <v>0</v>
      </c>
      <c r="AC89">
        <f t="shared" si="22"/>
        <v>0</v>
      </c>
      <c r="AD89">
        <f t="shared" si="23"/>
        <v>0</v>
      </c>
    </row>
    <row r="90" spans="1:32" ht="43.2" thickTop="1" thickBot="1">
      <c r="A90" s="31"/>
      <c r="B90" s="44" t="s">
        <v>139</v>
      </c>
      <c r="C90" s="28"/>
      <c r="D90" s="28"/>
      <c r="E90" s="28"/>
      <c r="AA90">
        <f t="shared" si="20"/>
        <v>0</v>
      </c>
      <c r="AB90">
        <f t="shared" si="21"/>
        <v>0</v>
      </c>
      <c r="AC90">
        <f t="shared" si="22"/>
        <v>0</v>
      </c>
      <c r="AD90">
        <f t="shared" si="23"/>
        <v>0</v>
      </c>
    </row>
    <row r="91" spans="1:32" ht="22.2" thickTop="1" thickBot="1">
      <c r="A91" s="31"/>
      <c r="B91" s="44" t="s">
        <v>140</v>
      </c>
      <c r="C91" s="28"/>
      <c r="D91" s="28"/>
      <c r="E91" s="28"/>
      <c r="AA91">
        <f t="shared" si="20"/>
        <v>0</v>
      </c>
      <c r="AB91">
        <f t="shared" si="21"/>
        <v>0</v>
      </c>
      <c r="AC91">
        <f t="shared" si="22"/>
        <v>0</v>
      </c>
      <c r="AD91">
        <f t="shared" si="23"/>
        <v>0</v>
      </c>
    </row>
    <row r="92" spans="1:32" ht="22.2" thickTop="1" thickBot="1">
      <c r="A92" s="31"/>
      <c r="B92" s="53" t="s">
        <v>141</v>
      </c>
      <c r="C92" s="45"/>
      <c r="D92" s="46"/>
      <c r="E92" s="47"/>
    </row>
    <row r="93" spans="1:32" ht="22.2" thickTop="1" thickBot="1">
      <c r="A93" s="31"/>
      <c r="B93" s="27" t="s">
        <v>142</v>
      </c>
      <c r="C93" s="28"/>
      <c r="D93" s="28"/>
      <c r="E93" s="28"/>
      <c r="AA93">
        <f t="shared" ref="AA93:AA105" si="24">IF(C93="Met",1,0)</f>
        <v>0</v>
      </c>
      <c r="AB93">
        <f t="shared" ref="AB93:AB105" si="25">IF(C93="Partially Met",1,0)</f>
        <v>0</v>
      </c>
      <c r="AC93">
        <f t="shared" ref="AC93:AC105" si="26">IF(C93="UnMet",1,0)</f>
        <v>0</v>
      </c>
      <c r="AD93">
        <f t="shared" ref="AD93:AD105" si="27">IF(C93="Not Applicable",1,0)</f>
        <v>0</v>
      </c>
    </row>
    <row r="94" spans="1:32" ht="22.2" thickTop="1" thickBot="1">
      <c r="A94" s="31"/>
      <c r="B94" s="27" t="s">
        <v>143</v>
      </c>
      <c r="C94" s="28"/>
      <c r="D94" s="28"/>
      <c r="E94" s="28"/>
      <c r="AA94">
        <f t="shared" si="24"/>
        <v>0</v>
      </c>
      <c r="AB94">
        <f t="shared" si="25"/>
        <v>0</v>
      </c>
      <c r="AC94">
        <f t="shared" si="26"/>
        <v>0</v>
      </c>
      <c r="AD94">
        <f t="shared" si="27"/>
        <v>0</v>
      </c>
    </row>
    <row r="95" spans="1:32" ht="22.2" thickTop="1" thickBot="1">
      <c r="A95" s="31"/>
      <c r="B95" s="27" t="s">
        <v>144</v>
      </c>
      <c r="C95" s="28"/>
      <c r="D95" s="28"/>
      <c r="E95" s="28"/>
      <c r="AA95">
        <f t="shared" si="24"/>
        <v>0</v>
      </c>
      <c r="AB95">
        <f t="shared" si="25"/>
        <v>0</v>
      </c>
      <c r="AC95">
        <f t="shared" si="26"/>
        <v>0</v>
      </c>
      <c r="AD95">
        <f t="shared" si="27"/>
        <v>0</v>
      </c>
    </row>
    <row r="96" spans="1:32" ht="22.2" thickTop="1" thickBot="1">
      <c r="A96" s="31"/>
      <c r="B96" s="27" t="s">
        <v>145</v>
      </c>
      <c r="C96" s="28"/>
      <c r="D96" s="28"/>
      <c r="E96" s="28"/>
      <c r="AA96">
        <f t="shared" si="24"/>
        <v>0</v>
      </c>
      <c r="AB96">
        <f t="shared" si="25"/>
        <v>0</v>
      </c>
      <c r="AC96">
        <f t="shared" si="26"/>
        <v>0</v>
      </c>
      <c r="AD96">
        <f t="shared" si="27"/>
        <v>0</v>
      </c>
    </row>
    <row r="97" spans="1:30" ht="22.2" thickTop="1" thickBot="1">
      <c r="A97" s="31"/>
      <c r="B97" s="27" t="s">
        <v>146</v>
      </c>
      <c r="C97" s="28"/>
      <c r="D97" s="28"/>
      <c r="E97" s="28"/>
      <c r="AA97">
        <f t="shared" si="24"/>
        <v>0</v>
      </c>
      <c r="AB97">
        <f t="shared" si="25"/>
        <v>0</v>
      </c>
      <c r="AC97">
        <f t="shared" si="26"/>
        <v>0</v>
      </c>
      <c r="AD97">
        <f t="shared" si="27"/>
        <v>0</v>
      </c>
    </row>
    <row r="98" spans="1:30" ht="22.2" thickTop="1" thickBot="1">
      <c r="A98" s="31"/>
      <c r="B98" s="27" t="s">
        <v>147</v>
      </c>
      <c r="C98" s="28"/>
      <c r="D98" s="28"/>
      <c r="E98" s="28"/>
      <c r="AA98">
        <f t="shared" si="24"/>
        <v>0</v>
      </c>
      <c r="AB98">
        <f t="shared" si="25"/>
        <v>0</v>
      </c>
      <c r="AC98">
        <f t="shared" si="26"/>
        <v>0</v>
      </c>
      <c r="AD98">
        <f t="shared" si="27"/>
        <v>0</v>
      </c>
    </row>
    <row r="99" spans="1:30" ht="22.2" thickTop="1" thickBot="1">
      <c r="A99" s="31"/>
      <c r="B99" s="27" t="s">
        <v>148</v>
      </c>
      <c r="C99" s="28"/>
      <c r="D99" s="28"/>
      <c r="E99" s="28"/>
      <c r="AA99">
        <f t="shared" si="24"/>
        <v>0</v>
      </c>
      <c r="AB99">
        <f t="shared" si="25"/>
        <v>0</v>
      </c>
      <c r="AC99">
        <f t="shared" si="26"/>
        <v>0</v>
      </c>
      <c r="AD99">
        <f t="shared" si="27"/>
        <v>0</v>
      </c>
    </row>
    <row r="100" spans="1:30" ht="22.2" thickTop="1" thickBot="1">
      <c r="A100" s="31"/>
      <c r="B100" s="27" t="s">
        <v>149</v>
      </c>
      <c r="C100" s="28"/>
      <c r="D100" s="28"/>
      <c r="E100" s="28"/>
      <c r="AA100">
        <f t="shared" si="24"/>
        <v>0</v>
      </c>
      <c r="AB100">
        <f t="shared" si="25"/>
        <v>0</v>
      </c>
      <c r="AC100">
        <f t="shared" si="26"/>
        <v>0</v>
      </c>
      <c r="AD100">
        <f t="shared" si="27"/>
        <v>0</v>
      </c>
    </row>
    <row r="101" spans="1:30" ht="43.2" thickTop="1" thickBot="1">
      <c r="A101" s="48" t="s">
        <v>150</v>
      </c>
      <c r="B101" s="54" t="s">
        <v>151</v>
      </c>
      <c r="C101" s="28"/>
      <c r="D101" s="28"/>
      <c r="E101" s="28"/>
      <c r="AA101">
        <f t="shared" si="24"/>
        <v>0</v>
      </c>
      <c r="AB101">
        <f t="shared" si="25"/>
        <v>0</v>
      </c>
      <c r="AC101">
        <f t="shared" si="26"/>
        <v>0</v>
      </c>
      <c r="AD101">
        <f t="shared" si="27"/>
        <v>0</v>
      </c>
    </row>
    <row r="102" spans="1:30" ht="43.2" thickTop="1" thickBot="1">
      <c r="A102" s="48" t="s">
        <v>152</v>
      </c>
      <c r="B102" s="54" t="s">
        <v>153</v>
      </c>
      <c r="C102" s="28"/>
      <c r="D102" s="28"/>
      <c r="E102" s="28"/>
      <c r="AA102">
        <f t="shared" si="24"/>
        <v>0</v>
      </c>
      <c r="AB102">
        <f t="shared" si="25"/>
        <v>0</v>
      </c>
      <c r="AC102">
        <f t="shared" si="26"/>
        <v>0</v>
      </c>
      <c r="AD102">
        <f t="shared" si="27"/>
        <v>0</v>
      </c>
    </row>
    <row r="103" spans="1:30" ht="42" thickTop="1" thickBot="1">
      <c r="A103" s="48" t="s">
        <v>154</v>
      </c>
      <c r="B103" s="55" t="s">
        <v>155</v>
      </c>
      <c r="C103" s="28"/>
      <c r="D103" s="28"/>
      <c r="E103" s="28"/>
      <c r="AA103">
        <f t="shared" si="24"/>
        <v>0</v>
      </c>
      <c r="AB103">
        <f t="shared" si="25"/>
        <v>0</v>
      </c>
      <c r="AC103">
        <f t="shared" si="26"/>
        <v>0</v>
      </c>
      <c r="AD103">
        <f t="shared" si="27"/>
        <v>0</v>
      </c>
    </row>
    <row r="104" spans="1:30" ht="22.2" thickTop="1" thickBot="1">
      <c r="A104" s="48" t="s">
        <v>156</v>
      </c>
      <c r="B104" s="55" t="s">
        <v>157</v>
      </c>
      <c r="C104" s="28"/>
      <c r="D104" s="28"/>
      <c r="E104" s="28"/>
      <c r="AA104">
        <f t="shared" si="24"/>
        <v>0</v>
      </c>
      <c r="AB104">
        <f t="shared" si="25"/>
        <v>0</v>
      </c>
      <c r="AC104">
        <f t="shared" si="26"/>
        <v>0</v>
      </c>
      <c r="AD104">
        <f t="shared" si="27"/>
        <v>0</v>
      </c>
    </row>
    <row r="105" spans="1:30" ht="42" thickTop="1" thickBot="1">
      <c r="A105" s="48" t="s">
        <v>158</v>
      </c>
      <c r="B105" s="56" t="s">
        <v>159</v>
      </c>
      <c r="C105" s="28"/>
      <c r="D105" s="28"/>
      <c r="E105" s="28"/>
      <c r="AA105">
        <f t="shared" si="24"/>
        <v>0</v>
      </c>
      <c r="AB105">
        <f t="shared" si="25"/>
        <v>0</v>
      </c>
      <c r="AC105">
        <f t="shared" si="26"/>
        <v>0</v>
      </c>
      <c r="AD105">
        <f t="shared" si="27"/>
        <v>0</v>
      </c>
    </row>
  </sheetData>
  <sheetProtection algorithmName="SHA-512" hashValue="jAXlhe9fHo38l8o2fpgSukJ1BY646OaE6dCCGxo89Q1c2AwoADIRtp9ZGUUocl3uwDj/4rlOCyqWkNTZvPl+Mg==" saltValue="J2tZnJ5wAD47l1vtmRonRA==" spinCount="100000" sheet="1" objects="1" scenarios="1"/>
  <mergeCells count="20">
    <mergeCell ref="A47:A61"/>
    <mergeCell ref="C66:D66"/>
    <mergeCell ref="A67:A79"/>
    <mergeCell ref="C67:E67"/>
    <mergeCell ref="C83:D83"/>
    <mergeCell ref="A85:A100"/>
    <mergeCell ref="C85:E85"/>
    <mergeCell ref="C92:E92"/>
    <mergeCell ref="C14:D14"/>
    <mergeCell ref="C19:D19"/>
    <mergeCell ref="A20:A32"/>
    <mergeCell ref="C20:E20"/>
    <mergeCell ref="C35:D35"/>
    <mergeCell ref="C46:D46"/>
    <mergeCell ref="A1:E1"/>
    <mergeCell ref="A2:E2"/>
    <mergeCell ref="A3:E3"/>
    <mergeCell ref="C4:E4"/>
    <mergeCell ref="A6:E6"/>
    <mergeCell ref="C7:D7"/>
  </mergeCells>
  <dataValidations count="1">
    <dataValidation type="list" showInputMessage="1" showErrorMessage="1" sqref="C8:C13 C15:C18 C21:C34 C36:C45 C47:C65 C68:C82 C84 C86:C91 C93:C105">
      <formula1>"Met,Partially Met,UnMet,Not Applicable"</formula1>
    </dataValidation>
  </dataValidations>
  <pageMargins left="0.70866141732283505" right="0.70866141732283505" top="0.74803149606299202" bottom="0.74803149606299202" header="0.31496062992126" footer="0.31496062992126"/>
  <pageSetup paperSize="9" scale="41" orientation="landscape"/>
  <rowBreaks count="3" manualBreakCount="3">
    <brk id="18" max="5" man="1"/>
    <brk id="45" max="5" man="1"/>
    <brk id="82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SMCS10</vt:lpstr>
      <vt:lpstr>SMCS10!Print_Area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Musa</dc:creator>
  <cp:lastModifiedBy>Ashraf Musa</cp:lastModifiedBy>
  <dcterms:created xsi:type="dcterms:W3CDTF">2025-08-22T13:37:57Z</dcterms:created>
  <dcterms:modified xsi:type="dcterms:W3CDTF">2025-08-22T13:37:58Z</dcterms:modified>
</cp:coreProperties>
</file>