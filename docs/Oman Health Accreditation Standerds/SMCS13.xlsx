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AMEH\Downloads\"/>
    </mc:Choice>
  </mc:AlternateContent>
  <bookViews>
    <workbookView xWindow="0" yWindow="0" windowWidth="23040" windowHeight="8784"/>
  </bookViews>
  <sheets>
    <sheet name="SMCS13" sheetId="1" r:id="rId1"/>
  </sheets>
  <definedNames>
    <definedName name="_xlnm.Print_Area" localSheetId="0">SMCS13!$A$1:$G$68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66" i="1" l="1"/>
  <c r="AC66" i="1"/>
  <c r="AB66" i="1"/>
  <c r="AA66" i="1"/>
  <c r="AD65" i="1"/>
  <c r="AC65" i="1"/>
  <c r="AB65" i="1"/>
  <c r="AA65" i="1"/>
  <c r="AD64" i="1"/>
  <c r="AC64" i="1"/>
  <c r="AB64" i="1"/>
  <c r="AA64" i="1"/>
  <c r="AD62" i="1"/>
  <c r="AC62" i="1"/>
  <c r="AB62" i="1"/>
  <c r="AA62" i="1"/>
  <c r="AD61" i="1"/>
  <c r="AC61" i="1"/>
  <c r="AB61" i="1"/>
  <c r="AA61" i="1"/>
  <c r="AD60" i="1"/>
  <c r="AC60" i="1"/>
  <c r="AB60" i="1"/>
  <c r="AA60" i="1"/>
  <c r="AD59" i="1"/>
  <c r="AC59" i="1"/>
  <c r="AB59" i="1"/>
  <c r="AA59" i="1"/>
  <c r="AD58" i="1"/>
  <c r="AC58" i="1"/>
  <c r="AB58" i="1"/>
  <c r="AA58" i="1"/>
  <c r="AF57" i="1" s="1"/>
  <c r="AD56" i="1"/>
  <c r="AC56" i="1"/>
  <c r="AB56" i="1"/>
  <c r="AA56" i="1"/>
  <c r="AD55" i="1"/>
  <c r="AC55" i="1"/>
  <c r="AB55" i="1"/>
  <c r="AA55" i="1"/>
  <c r="AD54" i="1"/>
  <c r="AC54" i="1"/>
  <c r="AB54" i="1"/>
  <c r="AA54" i="1"/>
  <c r="AD53" i="1"/>
  <c r="AF51" i="1" s="1"/>
  <c r="AC53" i="1"/>
  <c r="AB53" i="1"/>
  <c r="AA53" i="1"/>
  <c r="AD52" i="1"/>
  <c r="AC52" i="1"/>
  <c r="AB52" i="1"/>
  <c r="AA52" i="1"/>
  <c r="AE51" i="1" s="1"/>
  <c r="AD50" i="1"/>
  <c r="AC50" i="1"/>
  <c r="AB50" i="1"/>
  <c r="AA50" i="1"/>
  <c r="AD49" i="1"/>
  <c r="AC49" i="1"/>
  <c r="AB49" i="1"/>
  <c r="AA49" i="1"/>
  <c r="AD48" i="1"/>
  <c r="AC48" i="1"/>
  <c r="AB48" i="1"/>
  <c r="AA48" i="1"/>
  <c r="AD47" i="1"/>
  <c r="AC47" i="1"/>
  <c r="AB47" i="1"/>
  <c r="AA47" i="1"/>
  <c r="AD46" i="1"/>
  <c r="AC46" i="1"/>
  <c r="AB46" i="1"/>
  <c r="AA46" i="1"/>
  <c r="AD45" i="1"/>
  <c r="AC45" i="1"/>
  <c r="AB45" i="1"/>
  <c r="AA45" i="1"/>
  <c r="AD44" i="1"/>
  <c r="AC44" i="1"/>
  <c r="AB44" i="1"/>
  <c r="AA44" i="1"/>
  <c r="AD43" i="1"/>
  <c r="AC43" i="1"/>
  <c r="AB43" i="1"/>
  <c r="AA43" i="1"/>
  <c r="AD42" i="1"/>
  <c r="AC42" i="1"/>
  <c r="AB42" i="1"/>
  <c r="AA42" i="1"/>
  <c r="AD41" i="1"/>
  <c r="AC41" i="1"/>
  <c r="AB41" i="1"/>
  <c r="AA41" i="1"/>
  <c r="AD39" i="1"/>
  <c r="AC39" i="1"/>
  <c r="AB39" i="1"/>
  <c r="AA39" i="1"/>
  <c r="AE37" i="1" s="1"/>
  <c r="E37" i="1" s="1"/>
  <c r="AD38" i="1"/>
  <c r="AC38" i="1"/>
  <c r="AB38" i="1"/>
  <c r="AA38" i="1"/>
  <c r="AF37" i="1" s="1"/>
  <c r="AD36" i="1"/>
  <c r="AC36" i="1"/>
  <c r="AB36" i="1"/>
  <c r="AA36" i="1"/>
  <c r="AD35" i="1"/>
  <c r="AC35" i="1"/>
  <c r="AB35" i="1"/>
  <c r="AA35" i="1"/>
  <c r="AD34" i="1"/>
  <c r="AC34" i="1"/>
  <c r="AB34" i="1"/>
  <c r="AA34" i="1"/>
  <c r="AD33" i="1"/>
  <c r="AC33" i="1"/>
  <c r="AB33" i="1"/>
  <c r="AA33" i="1"/>
  <c r="AD32" i="1"/>
  <c r="AC32" i="1"/>
  <c r="AB32" i="1"/>
  <c r="AA32" i="1"/>
  <c r="AD31" i="1"/>
  <c r="AC31" i="1"/>
  <c r="AB31" i="1"/>
  <c r="AA31" i="1"/>
  <c r="AD30" i="1"/>
  <c r="AC30" i="1"/>
  <c r="AB30" i="1"/>
  <c r="AE28" i="1" s="1"/>
  <c r="E28" i="1" s="1"/>
  <c r="AA30" i="1"/>
  <c r="AD29" i="1"/>
  <c r="AC29" i="1"/>
  <c r="AB29" i="1"/>
  <c r="AA29" i="1"/>
  <c r="AF28" i="1"/>
  <c r="AD27" i="1"/>
  <c r="AC27" i="1"/>
  <c r="AB27" i="1"/>
  <c r="AA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3" i="1"/>
  <c r="AC23" i="1"/>
  <c r="AB23" i="1"/>
  <c r="AA23" i="1"/>
  <c r="AD22" i="1"/>
  <c r="AC22" i="1"/>
  <c r="AB22" i="1"/>
  <c r="AA22" i="1"/>
  <c r="AD21" i="1"/>
  <c r="AC21" i="1"/>
  <c r="AB21" i="1"/>
  <c r="AA21" i="1"/>
  <c r="AD20" i="1"/>
  <c r="AC20" i="1"/>
  <c r="AB20" i="1"/>
  <c r="AA20" i="1"/>
  <c r="AD19" i="1"/>
  <c r="AC19" i="1"/>
  <c r="AB19" i="1"/>
  <c r="AA19" i="1"/>
  <c r="AD18" i="1"/>
  <c r="AC18" i="1"/>
  <c r="AB18" i="1"/>
  <c r="AA18" i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D14" i="1"/>
  <c r="AC14" i="1"/>
  <c r="AB14" i="1"/>
  <c r="AA14" i="1"/>
  <c r="AF12" i="1" s="1"/>
  <c r="AD11" i="1"/>
  <c r="AC11" i="1"/>
  <c r="AB11" i="1"/>
  <c r="AA11" i="1"/>
  <c r="AD10" i="1"/>
  <c r="AC10" i="1"/>
  <c r="AB10" i="1"/>
  <c r="AA10" i="1"/>
  <c r="AD9" i="1"/>
  <c r="AC9" i="1"/>
  <c r="AB9" i="1"/>
  <c r="AA9" i="1"/>
  <c r="AF7" i="1" s="1"/>
  <c r="AD8" i="1"/>
  <c r="AC8" i="1"/>
  <c r="AB8" i="1"/>
  <c r="AA8" i="1"/>
  <c r="E51" i="1" l="1"/>
  <c r="AB4" i="1"/>
  <c r="AA4" i="1"/>
  <c r="AE7" i="1"/>
  <c r="E7" i="1" s="1"/>
  <c r="AE12" i="1"/>
  <c r="E12" i="1" s="1"/>
  <c r="AE57" i="1"/>
  <c r="E57" i="1" s="1"/>
  <c r="C4" i="1" l="1"/>
</calcChain>
</file>

<file path=xl/sharedStrings.xml><?xml version="1.0" encoding="utf-8"?>
<sst xmlns="http://schemas.openxmlformats.org/spreadsheetml/2006/main" count="112" uniqueCount="111">
  <si>
    <t xml:space="preserve"> Quality Assurance Center </t>
  </si>
  <si>
    <t xml:space="preserve">Oman Healthcare Accrediation System </t>
  </si>
  <si>
    <t xml:space="preserve">Self Assessment Tool (SAT) </t>
  </si>
  <si>
    <t>Chapter 4</t>
  </si>
  <si>
    <t>Specialized Medical Care Services (SMCS)</t>
  </si>
  <si>
    <t>Conformity Level</t>
  </si>
  <si>
    <t xml:space="preserve">Evidence </t>
  </si>
  <si>
    <t xml:space="preserve">Comments </t>
  </si>
  <si>
    <t>Medical Rehabilitation and Physiotherapy Service</t>
  </si>
  <si>
    <t>MSCS.117</t>
  </si>
  <si>
    <t xml:space="preserve">Medical rehabilitation department has qualified trained therapists.  </t>
  </si>
  <si>
    <t>Total Measures: 4</t>
  </si>
  <si>
    <t xml:space="preserve">MSCS.117.a   </t>
  </si>
  <si>
    <t xml:space="preserve">The medical rehabilitation department is supervised by well qualified staff.  </t>
  </si>
  <si>
    <t>MSCS.117.b</t>
  </si>
  <si>
    <t xml:space="preserve">All unit staff are qualified with appropriate training and qualification, and experience in rehabilitation. </t>
  </si>
  <si>
    <t>MSCS.117.c</t>
  </si>
  <si>
    <t>The medical rehabilitation department has a clear scope of service for each rehabilitation discipline, which is known by all unit staff.</t>
  </si>
  <si>
    <t>MSCS.117.d</t>
  </si>
  <si>
    <t>Research activities are encouraged and organized in all medical rehabilitation services.</t>
  </si>
  <si>
    <t>MSCS.118</t>
  </si>
  <si>
    <t>The medical rehabilitation department has documented policies and procedures to guide the care of patients undertaking physiotherapy/ rehabilitation care.</t>
  </si>
  <si>
    <t>Total Measures: 14</t>
  </si>
  <si>
    <t xml:space="preserve">MSCS.118.a   </t>
  </si>
  <si>
    <t>The rehabilitation department has clear written policies, guidelines and procedures on the care of patients undergoing medical rehabilitation in the hospital including, but are not limited to, the following:</t>
  </si>
  <si>
    <t xml:space="preserve">1.      Management of patients with neurological disorders (e.g., stroke). </t>
  </si>
  <si>
    <t xml:space="preserve">2.      Management of patient with orthopedic issues (e.g., fracture, hip/knee replacement, etc.). </t>
  </si>
  <si>
    <t xml:space="preserve">3.      Management chronic back pain. </t>
  </si>
  <si>
    <t xml:space="preserve">4.      Safety measures in mobilization. </t>
  </si>
  <si>
    <t xml:space="preserve">5.      In and out- patient management policy. </t>
  </si>
  <si>
    <t xml:space="preserve">6.      Equipment policy. </t>
  </si>
  <si>
    <t xml:space="preserve">7.      Patient safety policy. </t>
  </si>
  <si>
    <t xml:space="preserve">8.      Safe moving and handling policy. </t>
  </si>
  <si>
    <t xml:space="preserve">9.      Staff induction/ orientation policy. </t>
  </si>
  <si>
    <t xml:space="preserve">10.  On-call policy. </t>
  </si>
  <si>
    <t xml:space="preserve">11.  Stroke rehabilitation guideline. </t>
  </si>
  <si>
    <t>MSCS.118.b</t>
  </si>
  <si>
    <t xml:space="preserve">Policies, guidelines and procedures are reviewed and approved by head of department and hospital top management. </t>
  </si>
  <si>
    <t>MSCS.118.c</t>
  </si>
  <si>
    <t xml:space="preserve">All rehabilitation policies, guidelines and procedures are accessible to all medical rehabilitation departments’ staff. </t>
  </si>
  <si>
    <t>MSCS.118.d</t>
  </si>
  <si>
    <t xml:space="preserve">The department conducts regular audit to ensure all staff are aware and comply with the written policies, guidelines and procedures. </t>
  </si>
  <si>
    <t>MSCS.119</t>
  </si>
  <si>
    <t>Rehabilitation service is provided by multidisciplinary team.</t>
  </si>
  <si>
    <t>Total Measures: 8</t>
  </si>
  <si>
    <t xml:space="preserve">MSCS.119.a  </t>
  </si>
  <si>
    <t>There is a clear referral guide for providing medical rehabilitation services for patients within the hospital units.</t>
  </si>
  <si>
    <t>MSCS.119.b</t>
  </si>
  <si>
    <t xml:space="preserve">Medical Rehabilitation Services is offered only after referral by a physician. The referral is requested to the specialty required i.e., physiotherapy, occupational therapy, speech and language therapy and prosthetic and orthotic. </t>
  </si>
  <si>
    <t>MSCS.119.c</t>
  </si>
  <si>
    <t>The response to routine referrals issued within maximum 24 hours.</t>
  </si>
  <si>
    <t>MSCS.119.d</t>
  </si>
  <si>
    <t xml:space="preserve">Rehabilitation professionals communicate effectively with the multidisciplinary team about patient’s plan of care and perform the necessary activities. </t>
  </si>
  <si>
    <t>MSCS.119.e</t>
  </si>
  <si>
    <t>All communication and patient ‘plan of care provided are clearly documented by the rehabilitation staff and all other team members in the patient's medical record.</t>
  </si>
  <si>
    <t>MSCS.119.f</t>
  </si>
  <si>
    <t>The plan of patient care includes a multidisciplinary team involved in the rehabilitation, and the intensity and duration of the sessions to be arranged depending on the patient’s progression and needs.</t>
  </si>
  <si>
    <t>MSCS.119.g</t>
  </si>
  <si>
    <t xml:space="preserve">The patient’s response to therapy is documented in patient’s electronic record. </t>
  </si>
  <si>
    <t>MSCS.119.h</t>
  </si>
  <si>
    <t>The team provides information booklets for patients when available and needed.</t>
  </si>
  <si>
    <t>MSCS.120</t>
  </si>
  <si>
    <t>The rehabilitation department has an established comprehensive quality management system.</t>
  </si>
  <si>
    <t>Total Measures: 12</t>
  </si>
  <si>
    <t xml:space="preserve">MSCS.120.a </t>
  </si>
  <si>
    <t>The rehabilitation service has a quality management plan (e.g., monthly collection of data).</t>
  </si>
  <si>
    <t>MSCS.120.b</t>
  </si>
  <si>
    <t>Quality focal point is appointed to monitor quality plan.</t>
  </si>
  <si>
    <r>
      <rPr>
        <b/>
        <sz val="16"/>
        <color theme="1"/>
        <rFont val="Times New Roman"/>
        <charset val="134"/>
      </rPr>
      <t>MSCS.120</t>
    </r>
    <r>
      <rPr>
        <b/>
        <sz val="16"/>
        <color rgb="FF000000"/>
        <rFont val="Times New Roman"/>
        <charset val="134"/>
      </rPr>
      <t>.c</t>
    </r>
  </si>
  <si>
    <t xml:space="preserve">The availability of the following measures is essential to maintain quality and patient safety: </t>
  </si>
  <si>
    <t xml:space="preserve">Emergency resuscitation trolley. </t>
  </si>
  <si>
    <t>Availability of essential resources and equipment to meet the scope of service</t>
  </si>
  <si>
    <t xml:space="preserve">Equipment and environmental safety. </t>
  </si>
  <si>
    <t xml:space="preserve">List of emergency contact numbers. </t>
  </si>
  <si>
    <t xml:space="preserve">The physical environment has to be accessible for wheelchair users. </t>
  </si>
  <si>
    <t>Regular check-up of inventory items / equipment.</t>
  </si>
  <si>
    <t xml:space="preserve">Patient satisfaction forms/ surveys. </t>
  </si>
  <si>
    <t>Quality training for staff, including safe manual handling program and BLS.</t>
  </si>
  <si>
    <t xml:space="preserve">Incident report system. </t>
  </si>
  <si>
    <t xml:space="preserve">MSCS.120.d  </t>
  </si>
  <si>
    <t>There is a regular scheduled audit, using checklist that classifies areas for improvement and the action plans.</t>
  </si>
  <si>
    <t>MSCS.121</t>
  </si>
  <si>
    <t>Patients are assessed comprehensively by medical rehabilitation professionals to identify their functional risks and needs.</t>
  </si>
  <si>
    <t>Total Measures: 5</t>
  </si>
  <si>
    <t xml:space="preserve">MSCS.121.a </t>
  </si>
  <si>
    <t xml:space="preserve">Patient rehabilitation care is guided by a comprehensive functional assessment process that is performed by a qualified therapist for each patient. The assessment includes collecting subjective and objective data. </t>
  </si>
  <si>
    <t>MSCS.121.b</t>
  </si>
  <si>
    <t xml:space="preserve">Evidence based clinical assessment tools are used to generate rehabilitation goals and action plans. </t>
  </si>
  <si>
    <t>MSCS.121.c</t>
  </si>
  <si>
    <t>Functional assessment is completed within twenty-four hours of referral. This can be applied in inpatient settings. For outpatients, it is limited by appointment date after referral which mostly exceeds 24 hours.</t>
  </si>
  <si>
    <t xml:space="preserve">MSCS.121.d   </t>
  </si>
  <si>
    <t>Functional screening and assessment findings are documented in the patient’s medical record.</t>
  </si>
  <si>
    <t xml:space="preserve">MSCS.121.e      </t>
  </si>
  <si>
    <t>The rehabilitation staff in collaboration with other multidisciplinary team develop appropriate plan of care for patients with functional needs that meets the needs of the patient.</t>
  </si>
  <si>
    <t>MSCS.122</t>
  </si>
  <si>
    <t>There is a clear process of follow-up/ discharge plan for the patients.</t>
  </si>
  <si>
    <t>MSCS.122.a</t>
  </si>
  <si>
    <t xml:space="preserve">Rehabilitation patient discharge procedure is available. </t>
  </si>
  <si>
    <t>MSCS.122.b</t>
  </si>
  <si>
    <t xml:space="preserve">During the patient care process, there is planning for discharge/follow-up arranged in timely intervals depending on the diagnosis and prognosis of the patient. </t>
  </si>
  <si>
    <t>MSCS.122.c</t>
  </si>
  <si>
    <t>Identified goals are met through various standardized assessment tools.</t>
  </si>
  <si>
    <t>MSCS.122.d</t>
  </si>
  <si>
    <t xml:space="preserve">Discharge decision is based on the agreed plan of care. </t>
  </si>
  <si>
    <t>MSCS.122.e</t>
  </si>
  <si>
    <t xml:space="preserve">Education of the patient/ family for follow up/ discharge is provided, using various applicable methods. </t>
  </si>
  <si>
    <t>MSCS.122.f</t>
  </si>
  <si>
    <t>Patient’s summary upon discharge includes but not limited to:</t>
  </si>
  <si>
    <t>Subjective and objective assessments as mentioned in the assessment standard.</t>
  </si>
  <si>
    <t>Overall patient’s progress.</t>
  </si>
  <si>
    <t>Achieved rehabilitation goals.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</si>
</sst>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2"/>
      <color theme="1"/>
      <name val="Calibri"/>
      <charset val="134"/>
      <scheme val="minor"/>
    </font>
    <font>
      <b/>
      <sz val="18"/>
      <color rgb="FF000000"/>
      <name val="Times New Roman"/>
      <charset val="134"/>
    </font>
    <font>
      <sz val="16"/>
      <color rgb="FF000000"/>
      <name val="Calibri"/>
      <charset val="134"/>
      <scheme val="minor"/>
    </font>
    <font>
      <b/>
      <sz val="16"/>
      <color rgb="FF000000"/>
      <name val="Times New Roman"/>
      <charset val="134"/>
    </font>
    <font>
      <sz val="11"/>
      <color rgb="FF9C6500"/>
      <name val="Calibri"/>
      <charset val="134"/>
      <scheme val="minor"/>
    </font>
    <font>
      <b/>
      <sz val="18"/>
      <color rgb="FFC00000"/>
      <name val="Times New Roman"/>
      <charset val="134"/>
    </font>
    <font>
      <b/>
      <sz val="16"/>
      <name val="Times New Roman"/>
      <charset val="134"/>
    </font>
    <font>
      <b/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6"/>
      <color theme="1"/>
      <name val="Times New Roman"/>
      <charset val="134"/>
    </font>
  </fonts>
  <fills count="13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3" fillId="4" borderId="5" xfId="0" applyFont="1" applyFill="1" applyBorder="1" applyAlignment="1">
      <alignment horizontal="center" vertical="center"/>
    </xf>
    <xf numFmtId="0" fontId="5" fillId="5" borderId="6" xfId="1" applyFont="1" applyBorder="1" applyAlignment="1">
      <alignment horizontal="center" vertical="center"/>
    </xf>
    <xf numFmtId="0" fontId="5" fillId="5" borderId="5" xfId="1" applyFont="1" applyBorder="1" applyAlignment="1">
      <alignment horizontal="center" vertical="center"/>
    </xf>
    <xf numFmtId="0" fontId="5" fillId="5" borderId="7" xfId="1" applyFont="1" applyBorder="1" applyAlignment="1">
      <alignment horizontal="center" vertical="center"/>
    </xf>
    <xf numFmtId="0" fontId="6" fillId="6" borderId="8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vertical="center"/>
    </xf>
    <xf numFmtId="0" fontId="7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left" vertical="center" wrapText="1"/>
    </xf>
    <xf numFmtId="0" fontId="10" fillId="9" borderId="13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horizontal="left" vertical="center"/>
    </xf>
    <xf numFmtId="0" fontId="3" fillId="10" borderId="12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 applyProtection="1">
      <protection locked="0"/>
    </xf>
    <xf numFmtId="0" fontId="9" fillId="9" borderId="12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horizontal="left" vertical="center"/>
    </xf>
    <xf numFmtId="0" fontId="9" fillId="11" borderId="12" xfId="0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left" vertical="center" wrapText="1"/>
    </xf>
    <xf numFmtId="0" fontId="11" fillId="12" borderId="13" xfId="0" applyFont="1" applyFill="1" applyBorder="1" applyAlignment="1">
      <alignment horizontal="center"/>
    </xf>
    <xf numFmtId="0" fontId="11" fillId="12" borderId="16" xfId="0" applyFont="1" applyFill="1" applyBorder="1" applyAlignment="1">
      <alignment horizontal="center"/>
    </xf>
    <xf numFmtId="0" fontId="11" fillId="12" borderId="14" xfId="0" applyFont="1" applyFill="1" applyBorder="1" applyAlignment="1">
      <alignment horizontal="center"/>
    </xf>
    <xf numFmtId="0" fontId="9" fillId="11" borderId="17" xfId="0" applyFon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12" borderId="8" xfId="0" applyFont="1" applyFill="1" applyBorder="1" applyAlignment="1">
      <alignment vertical="center" wrapText="1"/>
    </xf>
    <xf numFmtId="0" fontId="9" fillId="9" borderId="12" xfId="0" applyFont="1" applyFill="1" applyBorder="1" applyAlignment="1">
      <alignment horizontal="justify" vertical="center" wrapText="1"/>
    </xf>
    <xf numFmtId="0" fontId="9" fillId="9" borderId="8" xfId="0" applyFont="1" applyFill="1" applyBorder="1" applyAlignment="1">
      <alignment horizontal="justify" vertical="center" wrapText="1"/>
    </xf>
    <xf numFmtId="0" fontId="9" fillId="11" borderId="19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0" fontId="9" fillId="11" borderId="20" xfId="0" applyFont="1" applyFill="1" applyBorder="1" applyAlignment="1">
      <alignment horizontal="center" vertical="center" wrapText="1"/>
    </xf>
    <xf numFmtId="0" fontId="9" fillId="11" borderId="21" xfId="0" applyFont="1" applyFill="1" applyBorder="1" applyAlignment="1">
      <alignment horizontal="center" vertical="center" wrapText="1"/>
    </xf>
    <xf numFmtId="0" fontId="9" fillId="9" borderId="18" xfId="0" applyFont="1" applyFill="1" applyBorder="1" applyAlignment="1">
      <alignment horizontal="justify" vertical="center" wrapText="1"/>
    </xf>
    <xf numFmtId="0" fontId="11" fillId="12" borderId="8" xfId="0" applyFont="1" applyFill="1" applyBorder="1" applyAlignment="1">
      <alignment horizontal="center"/>
    </xf>
    <xf numFmtId="0" fontId="11" fillId="0" borderId="8" xfId="0" applyFont="1" applyBorder="1" applyAlignment="1" applyProtection="1">
      <alignment horizontal="center"/>
      <protection locked="0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F66"/>
  <sheetViews>
    <sheetView tabSelected="1" workbookViewId="0">
      <selection activeCell="A6" sqref="A6:XFD6"/>
    </sheetView>
  </sheetViews>
  <sheetFormatPr defaultColWidth="9" defaultRowHeight="15.6"/>
  <cols>
    <col min="1" max="1" width="17.19921875" customWidth="1"/>
    <col min="2" max="2" width="77.59765625" customWidth="1"/>
    <col min="3" max="3" width="25.69921875" customWidth="1"/>
    <col min="4" max="5" width="70.59765625" customWidth="1"/>
  </cols>
  <sheetData>
    <row r="1" spans="1:32" ht="22.8">
      <c r="A1" s="1" t="s">
        <v>0</v>
      </c>
      <c r="B1" s="2"/>
      <c r="C1" s="2"/>
      <c r="D1" s="2"/>
      <c r="E1" s="3"/>
    </row>
    <row r="2" spans="1:32" ht="22.8">
      <c r="A2" s="4" t="s">
        <v>1</v>
      </c>
      <c r="B2" s="5"/>
      <c r="C2" s="5"/>
      <c r="D2" s="5"/>
      <c r="E2" s="6"/>
    </row>
    <row r="3" spans="1:32" ht="22.8">
      <c r="A3" s="7" t="s">
        <v>2</v>
      </c>
      <c r="B3" s="8"/>
      <c r="C3" s="8"/>
      <c r="D3" s="8"/>
      <c r="E3" s="9"/>
    </row>
    <row r="4" spans="1:32" ht="23.4" thickBot="1">
      <c r="A4" s="10"/>
      <c r="B4" s="11"/>
      <c r="C4" s="12" t="str">
        <f>"Total Score: "&amp;ROUND((AA4/AB4)*100,2)&amp;"%"</f>
        <v>Total Score: 0%</v>
      </c>
      <c r="D4" s="13"/>
      <c r="E4" s="14"/>
      <c r="AA4">
        <f>SUM(AA7:AA66)+SUM(AB7:AB66)*0.5</f>
        <v>0</v>
      </c>
      <c r="AB4">
        <f>COUNT(AA7:AA66)-SUM(AB7:AD66)</f>
        <v>51</v>
      </c>
    </row>
    <row r="5" spans="1:32" ht="66" customHeight="1" thickTop="1" thickBot="1">
      <c r="A5" s="15" t="s">
        <v>3</v>
      </c>
      <c r="B5" s="16" t="s">
        <v>4</v>
      </c>
      <c r="C5" s="17" t="s">
        <v>5</v>
      </c>
      <c r="D5" s="18" t="s">
        <v>6</v>
      </c>
      <c r="E5" s="18" t="s">
        <v>7</v>
      </c>
    </row>
    <row r="6" spans="1:32" ht="21.6" thickTop="1" thickBot="1">
      <c r="A6" s="19" t="s">
        <v>8</v>
      </c>
      <c r="B6" s="20"/>
      <c r="C6" s="20"/>
      <c r="D6" s="20"/>
      <c r="E6" s="21"/>
    </row>
    <row r="7" spans="1:32" ht="78.75" customHeight="1" thickTop="1" thickBot="1">
      <c r="A7" s="22" t="s">
        <v>9</v>
      </c>
      <c r="B7" s="23" t="s">
        <v>10</v>
      </c>
      <c r="C7" s="24" t="s">
        <v>11</v>
      </c>
      <c r="D7" s="25"/>
      <c r="E7" s="26" t="str">
        <f>"Quotation: "&amp;ROUND((AE7/AF7)*100,2)&amp;"%"</f>
        <v>Quotation: 0%</v>
      </c>
      <c r="AE7">
        <f>SUM(AA8:AA11)+SUM(AB8:AB11)*0.5</f>
        <v>0</v>
      </c>
      <c r="AF7">
        <f>COUNT(AA8:AA11)-SUM(AD8:AD11)</f>
        <v>4</v>
      </c>
    </row>
    <row r="8" spans="1:32" ht="43.2" thickTop="1" thickBot="1">
      <c r="A8" s="27" t="s">
        <v>12</v>
      </c>
      <c r="B8" s="28" t="s">
        <v>13</v>
      </c>
      <c r="C8" s="29"/>
      <c r="D8" s="29"/>
      <c r="E8" s="29"/>
      <c r="AA8">
        <f>IF(C8="Met",1,0)</f>
        <v>0</v>
      </c>
      <c r="AB8">
        <f>IF(C8="Partially Met",1,0)</f>
        <v>0</v>
      </c>
      <c r="AC8">
        <f>IF(C8="UnMet",1,0)</f>
        <v>0</v>
      </c>
      <c r="AD8">
        <f>IF(C8="Not Applicable",1,0)</f>
        <v>0</v>
      </c>
    </row>
    <row r="9" spans="1:32" ht="43.2" thickTop="1" thickBot="1">
      <c r="A9" s="27" t="s">
        <v>14</v>
      </c>
      <c r="B9" s="28" t="s">
        <v>15</v>
      </c>
      <c r="C9" s="29"/>
      <c r="D9" s="29"/>
      <c r="E9" s="29"/>
      <c r="AA9">
        <f>IF(C9="Met",1,0)</f>
        <v>0</v>
      </c>
      <c r="AB9">
        <f>IF(C9="Partially Met",1,0)</f>
        <v>0</v>
      </c>
      <c r="AC9">
        <f>IF(C9="UnMet",1,0)</f>
        <v>0</v>
      </c>
      <c r="AD9">
        <f>IF(C9="Not Applicable",1,0)</f>
        <v>0</v>
      </c>
    </row>
    <row r="10" spans="1:32" ht="43.2" thickTop="1" thickBot="1">
      <c r="A10" s="27" t="s">
        <v>16</v>
      </c>
      <c r="B10" s="28" t="s">
        <v>17</v>
      </c>
      <c r="C10" s="29"/>
      <c r="D10" s="29"/>
      <c r="E10" s="29"/>
      <c r="AA10">
        <f>IF(C10="Met",1,0)</f>
        <v>0</v>
      </c>
      <c r="AB10">
        <f>IF(C10="Partially Met",1,0)</f>
        <v>0</v>
      </c>
      <c r="AC10">
        <f>IF(C10="UnMet",1,0)</f>
        <v>0</v>
      </c>
      <c r="AD10">
        <f>IF(C10="Not Applicable",1,0)</f>
        <v>0</v>
      </c>
    </row>
    <row r="11" spans="1:32" ht="43.2" thickTop="1" thickBot="1">
      <c r="A11" s="27" t="s">
        <v>18</v>
      </c>
      <c r="B11" s="28" t="s">
        <v>19</v>
      </c>
      <c r="C11" s="29"/>
      <c r="D11" s="29"/>
      <c r="E11" s="29"/>
      <c r="AA11">
        <f>IF(C11="Met",1,0)</f>
        <v>0</v>
      </c>
      <c r="AB11">
        <f>IF(C11="Partially Met",1,0)</f>
        <v>0</v>
      </c>
      <c r="AC11">
        <f>IF(C11="UnMet",1,0)</f>
        <v>0</v>
      </c>
      <c r="AD11">
        <f>IF(C11="Not Applicable",1,0)</f>
        <v>0</v>
      </c>
    </row>
    <row r="12" spans="1:32" ht="62.4" thickTop="1" thickBot="1">
      <c r="A12" s="30" t="s">
        <v>20</v>
      </c>
      <c r="B12" s="30" t="s">
        <v>21</v>
      </c>
      <c r="C12" s="24" t="s">
        <v>22</v>
      </c>
      <c r="D12" s="25"/>
      <c r="E12" s="31" t="str">
        <f>"Quotation: "&amp;ROUND((AE12/AF12)*100,2)&amp;"%"</f>
        <v>Quotation: 0%</v>
      </c>
      <c r="AE12">
        <f>SUM(AA13:AA27)+SUM(AB13:AB27)*0.5</f>
        <v>0</v>
      </c>
      <c r="AF12">
        <f>COUNT(AA13:AA27)-SUM(AD13:AD27)</f>
        <v>14</v>
      </c>
    </row>
    <row r="13" spans="1:32" ht="85.2" thickTop="1" thickBot="1">
      <c r="A13" s="32" t="s">
        <v>23</v>
      </c>
      <c r="B13" s="33" t="s">
        <v>24</v>
      </c>
      <c r="C13" s="34"/>
      <c r="D13" s="35"/>
      <c r="E13" s="36"/>
    </row>
    <row r="14" spans="1:32" ht="43.2" thickTop="1" thickBot="1">
      <c r="A14" s="37"/>
      <c r="B14" s="28" t="s">
        <v>25</v>
      </c>
      <c r="C14" s="29"/>
      <c r="D14" s="29"/>
      <c r="E14" s="29"/>
      <c r="AA14">
        <f t="shared" ref="AA14:AA27" si="0">IF(C14="Met",1,0)</f>
        <v>0</v>
      </c>
      <c r="AB14">
        <f t="shared" ref="AB14:AB27" si="1">IF(C14="Partially Met",1,0)</f>
        <v>0</v>
      </c>
      <c r="AC14">
        <f t="shared" ref="AC14:AC27" si="2">IF(C14="UnMet",1,0)</f>
        <v>0</v>
      </c>
      <c r="AD14">
        <f t="shared" ref="AD14:AD27" si="3">IF(C14="Not Applicable",1,0)</f>
        <v>0</v>
      </c>
    </row>
    <row r="15" spans="1:32" ht="43.2" thickTop="1" thickBot="1">
      <c r="A15" s="37"/>
      <c r="B15" s="28" t="s">
        <v>26</v>
      </c>
      <c r="C15" s="29"/>
      <c r="D15" s="29"/>
      <c r="E15" s="29"/>
      <c r="AA15">
        <f t="shared" si="0"/>
        <v>0</v>
      </c>
      <c r="AB15">
        <f t="shared" si="1"/>
        <v>0</v>
      </c>
      <c r="AC15">
        <f t="shared" si="2"/>
        <v>0</v>
      </c>
      <c r="AD15">
        <f t="shared" si="3"/>
        <v>0</v>
      </c>
    </row>
    <row r="16" spans="1:32" ht="22.2" thickTop="1" thickBot="1">
      <c r="A16" s="37"/>
      <c r="B16" s="28" t="s">
        <v>27</v>
      </c>
      <c r="C16" s="29"/>
      <c r="D16" s="29"/>
      <c r="E16" s="29"/>
      <c r="AA16">
        <f t="shared" si="0"/>
        <v>0</v>
      </c>
      <c r="AB16">
        <f t="shared" si="1"/>
        <v>0</v>
      </c>
      <c r="AC16">
        <f t="shared" si="2"/>
        <v>0</v>
      </c>
      <c r="AD16">
        <f t="shared" si="3"/>
        <v>0</v>
      </c>
    </row>
    <row r="17" spans="1:32" ht="22.2" thickTop="1" thickBot="1">
      <c r="A17" s="37"/>
      <c r="B17" s="28" t="s">
        <v>28</v>
      </c>
      <c r="C17" s="29"/>
      <c r="D17" s="29"/>
      <c r="E17" s="29"/>
      <c r="AA17">
        <f t="shared" si="0"/>
        <v>0</v>
      </c>
      <c r="AB17">
        <f t="shared" si="1"/>
        <v>0</v>
      </c>
      <c r="AC17">
        <f t="shared" si="2"/>
        <v>0</v>
      </c>
      <c r="AD17">
        <f t="shared" si="3"/>
        <v>0</v>
      </c>
    </row>
    <row r="18" spans="1:32" ht="22.2" thickTop="1" thickBot="1">
      <c r="A18" s="37"/>
      <c r="B18" s="28" t="s">
        <v>29</v>
      </c>
      <c r="C18" s="29"/>
      <c r="D18" s="29"/>
      <c r="E18" s="29"/>
      <c r="AA18">
        <f t="shared" si="0"/>
        <v>0</v>
      </c>
      <c r="AB18">
        <f t="shared" si="1"/>
        <v>0</v>
      </c>
      <c r="AC18">
        <f t="shared" si="2"/>
        <v>0</v>
      </c>
      <c r="AD18">
        <f t="shared" si="3"/>
        <v>0</v>
      </c>
    </row>
    <row r="19" spans="1:32" ht="22.2" thickTop="1" thickBot="1">
      <c r="A19" s="37"/>
      <c r="B19" s="28" t="s">
        <v>30</v>
      </c>
      <c r="C19" s="29"/>
      <c r="D19" s="29"/>
      <c r="E19" s="29"/>
      <c r="AA19">
        <f t="shared" si="0"/>
        <v>0</v>
      </c>
      <c r="AB19">
        <f t="shared" si="1"/>
        <v>0</v>
      </c>
      <c r="AC19">
        <f t="shared" si="2"/>
        <v>0</v>
      </c>
      <c r="AD19">
        <f t="shared" si="3"/>
        <v>0</v>
      </c>
    </row>
    <row r="20" spans="1:32" ht="22.2" thickTop="1" thickBot="1">
      <c r="A20" s="37"/>
      <c r="B20" s="28" t="s">
        <v>31</v>
      </c>
      <c r="C20" s="29"/>
      <c r="D20" s="29"/>
      <c r="E20" s="29"/>
      <c r="AA20">
        <f t="shared" si="0"/>
        <v>0</v>
      </c>
      <c r="AB20">
        <f t="shared" si="1"/>
        <v>0</v>
      </c>
      <c r="AC20">
        <f t="shared" si="2"/>
        <v>0</v>
      </c>
      <c r="AD20">
        <f t="shared" si="3"/>
        <v>0</v>
      </c>
    </row>
    <row r="21" spans="1:32" ht="22.2" thickTop="1" thickBot="1">
      <c r="A21" s="37"/>
      <c r="B21" s="28" t="s">
        <v>32</v>
      </c>
      <c r="C21" s="29"/>
      <c r="D21" s="29"/>
      <c r="E21" s="29"/>
      <c r="AA21">
        <f t="shared" si="0"/>
        <v>0</v>
      </c>
      <c r="AB21">
        <f t="shared" si="1"/>
        <v>0</v>
      </c>
      <c r="AC21">
        <f t="shared" si="2"/>
        <v>0</v>
      </c>
      <c r="AD21">
        <f t="shared" si="3"/>
        <v>0</v>
      </c>
    </row>
    <row r="22" spans="1:32" ht="22.2" thickTop="1" thickBot="1">
      <c r="A22" s="37"/>
      <c r="B22" s="28" t="s">
        <v>33</v>
      </c>
      <c r="C22" s="29"/>
      <c r="D22" s="29"/>
      <c r="E22" s="29"/>
      <c r="AA22">
        <f t="shared" si="0"/>
        <v>0</v>
      </c>
      <c r="AB22">
        <f t="shared" si="1"/>
        <v>0</v>
      </c>
      <c r="AC22">
        <f t="shared" si="2"/>
        <v>0</v>
      </c>
      <c r="AD22">
        <f t="shared" si="3"/>
        <v>0</v>
      </c>
    </row>
    <row r="23" spans="1:32" ht="22.2" thickTop="1" thickBot="1">
      <c r="A23" s="37"/>
      <c r="B23" s="28" t="s">
        <v>34</v>
      </c>
      <c r="C23" s="29"/>
      <c r="D23" s="29"/>
      <c r="E23" s="29"/>
      <c r="AA23">
        <f t="shared" si="0"/>
        <v>0</v>
      </c>
      <c r="AB23">
        <f t="shared" si="1"/>
        <v>0</v>
      </c>
      <c r="AC23">
        <f t="shared" si="2"/>
        <v>0</v>
      </c>
      <c r="AD23">
        <f t="shared" si="3"/>
        <v>0</v>
      </c>
    </row>
    <row r="24" spans="1:32" ht="22.2" thickTop="1" thickBot="1">
      <c r="A24" s="38"/>
      <c r="B24" s="28" t="s">
        <v>35</v>
      </c>
      <c r="C24" s="29"/>
      <c r="D24" s="29"/>
      <c r="E24" s="29"/>
      <c r="AA24">
        <f t="shared" si="0"/>
        <v>0</v>
      </c>
      <c r="AB24">
        <f t="shared" si="1"/>
        <v>0</v>
      </c>
      <c r="AC24">
        <f t="shared" si="2"/>
        <v>0</v>
      </c>
      <c r="AD24">
        <f t="shared" si="3"/>
        <v>0</v>
      </c>
    </row>
    <row r="25" spans="1:32" ht="43.2" thickTop="1" thickBot="1">
      <c r="A25" s="39" t="s">
        <v>36</v>
      </c>
      <c r="B25" s="28" t="s">
        <v>37</v>
      </c>
      <c r="C25" s="29"/>
      <c r="D25" s="29"/>
      <c r="E25" s="29"/>
      <c r="AA25">
        <f t="shared" si="0"/>
        <v>0</v>
      </c>
      <c r="AB25">
        <f t="shared" si="1"/>
        <v>0</v>
      </c>
      <c r="AC25">
        <f t="shared" si="2"/>
        <v>0</v>
      </c>
      <c r="AD25">
        <f t="shared" si="3"/>
        <v>0</v>
      </c>
    </row>
    <row r="26" spans="1:32" ht="43.2" thickTop="1" thickBot="1">
      <c r="A26" s="39" t="s">
        <v>38</v>
      </c>
      <c r="B26" s="28" t="s">
        <v>39</v>
      </c>
      <c r="C26" s="29"/>
      <c r="D26" s="29"/>
      <c r="E26" s="29"/>
      <c r="AA26">
        <f t="shared" si="0"/>
        <v>0</v>
      </c>
      <c r="AB26">
        <f t="shared" si="1"/>
        <v>0</v>
      </c>
      <c r="AC26">
        <f t="shared" si="2"/>
        <v>0</v>
      </c>
      <c r="AD26">
        <f t="shared" si="3"/>
        <v>0</v>
      </c>
    </row>
    <row r="27" spans="1:32" ht="43.2" thickTop="1" thickBot="1">
      <c r="A27" s="39" t="s">
        <v>40</v>
      </c>
      <c r="B27" s="28" t="s">
        <v>41</v>
      </c>
      <c r="C27" s="29"/>
      <c r="D27" s="29"/>
      <c r="E27" s="29"/>
      <c r="AA27">
        <f t="shared" si="0"/>
        <v>0</v>
      </c>
      <c r="AB27">
        <f t="shared" si="1"/>
        <v>0</v>
      </c>
      <c r="AC27">
        <f t="shared" si="2"/>
        <v>0</v>
      </c>
      <c r="AD27">
        <f t="shared" si="3"/>
        <v>0</v>
      </c>
    </row>
    <row r="28" spans="1:32" ht="75" customHeight="1" thickTop="1" thickBot="1">
      <c r="A28" s="40" t="s">
        <v>42</v>
      </c>
      <c r="B28" s="30" t="s">
        <v>43</v>
      </c>
      <c r="C28" s="24" t="s">
        <v>44</v>
      </c>
      <c r="D28" s="25"/>
      <c r="E28" s="31" t="str">
        <f>"Quotation: "&amp;ROUND((AE28/AF28)*100,2)&amp;"%"</f>
        <v>Quotation: 0%</v>
      </c>
      <c r="AE28">
        <f>SUM(AA29:AA36)+SUM(AB29:AB36)*0.5</f>
        <v>0</v>
      </c>
      <c r="AF28">
        <f>COUNT(AA29:AA36)-SUM(AD29:AD36)</f>
        <v>8</v>
      </c>
    </row>
    <row r="29" spans="1:32" ht="43.2" thickTop="1" thickBot="1">
      <c r="A29" s="39" t="s">
        <v>45</v>
      </c>
      <c r="B29" s="28" t="s">
        <v>46</v>
      </c>
      <c r="C29" s="29"/>
      <c r="D29" s="29"/>
      <c r="E29" s="29"/>
      <c r="AA29">
        <f t="shared" ref="AA29:AA36" si="4">IF(C29="Met",1,0)</f>
        <v>0</v>
      </c>
      <c r="AB29">
        <f t="shared" ref="AB29:AB36" si="5">IF(C29="Partially Met",1,0)</f>
        <v>0</v>
      </c>
      <c r="AC29">
        <f t="shared" ref="AC29:AC36" si="6">IF(C29="UnMet",1,0)</f>
        <v>0</v>
      </c>
      <c r="AD29">
        <f t="shared" ref="AD29:AD36" si="7">IF(C29="Not Applicable",1,0)</f>
        <v>0</v>
      </c>
    </row>
    <row r="30" spans="1:32" ht="85.2" thickTop="1" thickBot="1">
      <c r="A30" s="39" t="s">
        <v>47</v>
      </c>
      <c r="B30" s="28" t="s">
        <v>48</v>
      </c>
      <c r="C30" s="29"/>
      <c r="D30" s="29"/>
      <c r="E30" s="29"/>
      <c r="AA30">
        <f t="shared" si="4"/>
        <v>0</v>
      </c>
      <c r="AB30">
        <f t="shared" si="5"/>
        <v>0</v>
      </c>
      <c r="AC30">
        <f t="shared" si="6"/>
        <v>0</v>
      </c>
      <c r="AD30">
        <f t="shared" si="7"/>
        <v>0</v>
      </c>
    </row>
    <row r="31" spans="1:32" ht="22.2" thickTop="1" thickBot="1">
      <c r="A31" s="39" t="s">
        <v>49</v>
      </c>
      <c r="B31" s="28" t="s">
        <v>50</v>
      </c>
      <c r="C31" s="29"/>
      <c r="D31" s="29"/>
      <c r="E31" s="29"/>
      <c r="AA31">
        <f t="shared" si="4"/>
        <v>0</v>
      </c>
      <c r="AB31">
        <f t="shared" si="5"/>
        <v>0</v>
      </c>
      <c r="AC31">
        <f t="shared" si="6"/>
        <v>0</v>
      </c>
      <c r="AD31">
        <f t="shared" si="7"/>
        <v>0</v>
      </c>
    </row>
    <row r="32" spans="1:32" ht="64.2" thickTop="1" thickBot="1">
      <c r="A32" s="39" t="s">
        <v>51</v>
      </c>
      <c r="B32" s="28" t="s">
        <v>52</v>
      </c>
      <c r="C32" s="29"/>
      <c r="D32" s="29"/>
      <c r="E32" s="29"/>
      <c r="AA32">
        <f t="shared" si="4"/>
        <v>0</v>
      </c>
      <c r="AB32">
        <f t="shared" si="5"/>
        <v>0</v>
      </c>
      <c r="AC32">
        <f t="shared" si="6"/>
        <v>0</v>
      </c>
      <c r="AD32">
        <f t="shared" si="7"/>
        <v>0</v>
      </c>
    </row>
    <row r="33" spans="1:32" ht="64.2" thickTop="1" thickBot="1">
      <c r="A33" s="39" t="s">
        <v>53</v>
      </c>
      <c r="B33" s="28" t="s">
        <v>54</v>
      </c>
      <c r="C33" s="29"/>
      <c r="D33" s="29"/>
      <c r="E33" s="29"/>
      <c r="AA33">
        <f t="shared" si="4"/>
        <v>0</v>
      </c>
      <c r="AB33">
        <f t="shared" si="5"/>
        <v>0</v>
      </c>
      <c r="AC33">
        <f t="shared" si="6"/>
        <v>0</v>
      </c>
      <c r="AD33">
        <f t="shared" si="7"/>
        <v>0</v>
      </c>
    </row>
    <row r="34" spans="1:32" ht="64.2" thickTop="1" thickBot="1">
      <c r="A34" s="39" t="s">
        <v>55</v>
      </c>
      <c r="B34" s="28" t="s">
        <v>56</v>
      </c>
      <c r="C34" s="29"/>
      <c r="D34" s="29"/>
      <c r="E34" s="29"/>
      <c r="AA34">
        <f t="shared" si="4"/>
        <v>0</v>
      </c>
      <c r="AB34">
        <f t="shared" si="5"/>
        <v>0</v>
      </c>
      <c r="AC34">
        <f t="shared" si="6"/>
        <v>0</v>
      </c>
      <c r="AD34">
        <f t="shared" si="7"/>
        <v>0</v>
      </c>
    </row>
    <row r="35" spans="1:32" ht="43.2" thickTop="1" thickBot="1">
      <c r="A35" s="39" t="s">
        <v>57</v>
      </c>
      <c r="B35" s="28" t="s">
        <v>58</v>
      </c>
      <c r="C35" s="29"/>
      <c r="D35" s="29"/>
      <c r="E35" s="29"/>
      <c r="AA35">
        <f t="shared" si="4"/>
        <v>0</v>
      </c>
      <c r="AB35">
        <f t="shared" si="5"/>
        <v>0</v>
      </c>
      <c r="AC35">
        <f t="shared" si="6"/>
        <v>0</v>
      </c>
      <c r="AD35">
        <f t="shared" si="7"/>
        <v>0</v>
      </c>
    </row>
    <row r="36" spans="1:32" ht="43.2" thickTop="1" thickBot="1">
      <c r="A36" s="39" t="s">
        <v>59</v>
      </c>
      <c r="B36" s="28" t="s">
        <v>60</v>
      </c>
      <c r="C36" s="29"/>
      <c r="D36" s="29"/>
      <c r="E36" s="29"/>
      <c r="AA36">
        <f t="shared" si="4"/>
        <v>0</v>
      </c>
      <c r="AB36">
        <f t="shared" si="5"/>
        <v>0</v>
      </c>
      <c r="AC36">
        <f t="shared" si="6"/>
        <v>0</v>
      </c>
      <c r="AD36">
        <f t="shared" si="7"/>
        <v>0</v>
      </c>
    </row>
    <row r="37" spans="1:32" ht="66.75" customHeight="1" thickTop="1" thickBot="1">
      <c r="A37" s="40" t="s">
        <v>61</v>
      </c>
      <c r="B37" s="30" t="s">
        <v>62</v>
      </c>
      <c r="C37" s="24" t="s">
        <v>63</v>
      </c>
      <c r="D37" s="25"/>
      <c r="E37" s="31" t="str">
        <f>"Quotation: "&amp;ROUND((AE37/AF37)*100,2)&amp;"%"</f>
        <v>Quotation: 0%</v>
      </c>
      <c r="AE37">
        <f>SUM(AA38:AA50)+SUM(AB38:AB50)*0.5</f>
        <v>0</v>
      </c>
      <c r="AF37">
        <f>COUNT(AA38:AA50)-SUM(AD38:AD50)</f>
        <v>12</v>
      </c>
    </row>
    <row r="38" spans="1:32" ht="43.2" thickTop="1" thickBot="1">
      <c r="A38" s="39" t="s">
        <v>64</v>
      </c>
      <c r="B38" s="41" t="s">
        <v>65</v>
      </c>
      <c r="C38" s="29"/>
      <c r="D38" s="29"/>
      <c r="E38" s="29"/>
      <c r="AA38">
        <f>IF(C38="Met",1,0)</f>
        <v>0</v>
      </c>
      <c r="AB38">
        <f>IF(C38="Partially Met",1,0)</f>
        <v>0</v>
      </c>
      <c r="AC38">
        <f>IF(C38="UnMet",1,0)</f>
        <v>0</v>
      </c>
      <c r="AD38">
        <f>IF(C38="Not Applicable",1,0)</f>
        <v>0</v>
      </c>
    </row>
    <row r="39" spans="1:32" ht="22.2" thickTop="1" thickBot="1">
      <c r="A39" s="39" t="s">
        <v>66</v>
      </c>
      <c r="B39" s="41" t="s">
        <v>67</v>
      </c>
      <c r="C39" s="29"/>
      <c r="D39" s="29"/>
      <c r="E39" s="29"/>
      <c r="AA39">
        <f>IF(C39="Met",1,0)</f>
        <v>0</v>
      </c>
      <c r="AB39">
        <f>IF(C39="Partially Met",1,0)</f>
        <v>0</v>
      </c>
      <c r="AC39">
        <f>IF(C39="UnMet",1,0)</f>
        <v>0</v>
      </c>
      <c r="AD39">
        <f>IF(C39="Not Applicable",1,0)</f>
        <v>0</v>
      </c>
    </row>
    <row r="40" spans="1:32" ht="43.2" thickTop="1" thickBot="1">
      <c r="A40" s="32" t="s">
        <v>68</v>
      </c>
      <c r="B40" s="42" t="s">
        <v>69</v>
      </c>
      <c r="C40" s="34"/>
      <c r="D40" s="35"/>
      <c r="E40" s="36"/>
    </row>
    <row r="41" spans="1:32" ht="22.2" thickTop="1" thickBot="1">
      <c r="A41" s="37"/>
      <c r="B41" s="41" t="s">
        <v>70</v>
      </c>
      <c r="C41" s="29"/>
      <c r="D41" s="29"/>
      <c r="E41" s="29"/>
      <c r="AA41">
        <f t="shared" ref="AA41:AA50" si="8">IF(C41="Met",1,0)</f>
        <v>0</v>
      </c>
      <c r="AB41">
        <f t="shared" ref="AB41:AB50" si="9">IF(C41="Partially Met",1,0)</f>
        <v>0</v>
      </c>
      <c r="AC41">
        <f t="shared" ref="AC41:AC50" si="10">IF(C41="UnMet",1,0)</f>
        <v>0</v>
      </c>
      <c r="AD41">
        <f t="shared" ref="AD41:AD50" si="11">IF(C41="Not Applicable",1,0)</f>
        <v>0</v>
      </c>
    </row>
    <row r="42" spans="1:32" ht="43.2" thickTop="1" thickBot="1">
      <c r="A42" s="37"/>
      <c r="B42" s="41" t="s">
        <v>71</v>
      </c>
      <c r="C42" s="29"/>
      <c r="D42" s="29"/>
      <c r="E42" s="29"/>
      <c r="AA42">
        <f t="shared" si="8"/>
        <v>0</v>
      </c>
      <c r="AB42">
        <f t="shared" si="9"/>
        <v>0</v>
      </c>
      <c r="AC42">
        <f t="shared" si="10"/>
        <v>0</v>
      </c>
      <c r="AD42">
        <f t="shared" si="11"/>
        <v>0</v>
      </c>
    </row>
    <row r="43" spans="1:32" ht="22.2" thickTop="1" thickBot="1">
      <c r="A43" s="37"/>
      <c r="B43" s="41" t="s">
        <v>72</v>
      </c>
      <c r="C43" s="29"/>
      <c r="D43" s="29"/>
      <c r="E43" s="29"/>
      <c r="AA43">
        <f t="shared" si="8"/>
        <v>0</v>
      </c>
      <c r="AB43">
        <f t="shared" si="9"/>
        <v>0</v>
      </c>
      <c r="AC43">
        <f t="shared" si="10"/>
        <v>0</v>
      </c>
      <c r="AD43">
        <f t="shared" si="11"/>
        <v>0</v>
      </c>
    </row>
    <row r="44" spans="1:32" ht="22.2" thickTop="1" thickBot="1">
      <c r="A44" s="37"/>
      <c r="B44" s="41" t="s">
        <v>73</v>
      </c>
      <c r="C44" s="29"/>
      <c r="D44" s="29"/>
      <c r="E44" s="29"/>
      <c r="AA44">
        <f t="shared" si="8"/>
        <v>0</v>
      </c>
      <c r="AB44">
        <f t="shared" si="9"/>
        <v>0</v>
      </c>
      <c r="AC44">
        <f t="shared" si="10"/>
        <v>0</v>
      </c>
      <c r="AD44">
        <f t="shared" si="11"/>
        <v>0</v>
      </c>
    </row>
    <row r="45" spans="1:32" ht="22.2" thickTop="1" thickBot="1">
      <c r="A45" s="37"/>
      <c r="B45" s="41" t="s">
        <v>74</v>
      </c>
      <c r="C45" s="29"/>
      <c r="D45" s="29"/>
      <c r="E45" s="29"/>
      <c r="AA45">
        <f t="shared" si="8"/>
        <v>0</v>
      </c>
      <c r="AB45">
        <f t="shared" si="9"/>
        <v>0</v>
      </c>
      <c r="AC45">
        <f t="shared" si="10"/>
        <v>0</v>
      </c>
      <c r="AD45">
        <f t="shared" si="11"/>
        <v>0</v>
      </c>
    </row>
    <row r="46" spans="1:32" ht="22.2" thickTop="1" thickBot="1">
      <c r="A46" s="37"/>
      <c r="B46" s="41" t="s">
        <v>75</v>
      </c>
      <c r="C46" s="29"/>
      <c r="D46" s="29"/>
      <c r="E46" s="29"/>
      <c r="AA46">
        <f t="shared" si="8"/>
        <v>0</v>
      </c>
      <c r="AB46">
        <f t="shared" si="9"/>
        <v>0</v>
      </c>
      <c r="AC46">
        <f t="shared" si="10"/>
        <v>0</v>
      </c>
      <c r="AD46">
        <f t="shared" si="11"/>
        <v>0</v>
      </c>
    </row>
    <row r="47" spans="1:32" ht="22.2" thickTop="1" thickBot="1">
      <c r="A47" s="37"/>
      <c r="B47" s="41" t="s">
        <v>76</v>
      </c>
      <c r="C47" s="29"/>
      <c r="D47" s="29"/>
      <c r="E47" s="29"/>
      <c r="AA47">
        <f t="shared" si="8"/>
        <v>0</v>
      </c>
      <c r="AB47">
        <f t="shared" si="9"/>
        <v>0</v>
      </c>
      <c r="AC47">
        <f t="shared" si="10"/>
        <v>0</v>
      </c>
      <c r="AD47">
        <f t="shared" si="11"/>
        <v>0</v>
      </c>
    </row>
    <row r="48" spans="1:32" ht="43.2" thickTop="1" thickBot="1">
      <c r="A48" s="37"/>
      <c r="B48" s="41" t="s">
        <v>77</v>
      </c>
      <c r="C48" s="29"/>
      <c r="D48" s="29"/>
      <c r="E48" s="29"/>
      <c r="AA48">
        <f t="shared" si="8"/>
        <v>0</v>
      </c>
      <c r="AB48">
        <f t="shared" si="9"/>
        <v>0</v>
      </c>
      <c r="AC48">
        <f t="shared" si="10"/>
        <v>0</v>
      </c>
      <c r="AD48">
        <f t="shared" si="11"/>
        <v>0</v>
      </c>
    </row>
    <row r="49" spans="1:32" ht="22.2" thickTop="1" thickBot="1">
      <c r="A49" s="38"/>
      <c r="B49" s="41" t="s">
        <v>78</v>
      </c>
      <c r="C49" s="29"/>
      <c r="D49" s="29"/>
      <c r="E49" s="29"/>
      <c r="AA49">
        <f t="shared" si="8"/>
        <v>0</v>
      </c>
      <c r="AB49">
        <f t="shared" si="9"/>
        <v>0</v>
      </c>
      <c r="AC49">
        <f t="shared" si="10"/>
        <v>0</v>
      </c>
      <c r="AD49">
        <f t="shared" si="11"/>
        <v>0</v>
      </c>
    </row>
    <row r="50" spans="1:32" ht="43.2" thickTop="1" thickBot="1">
      <c r="A50" s="39" t="s">
        <v>79</v>
      </c>
      <c r="B50" s="41" t="s">
        <v>80</v>
      </c>
      <c r="C50" s="29"/>
      <c r="D50" s="29"/>
      <c r="E50" s="29"/>
      <c r="AA50">
        <f t="shared" si="8"/>
        <v>0</v>
      </c>
      <c r="AB50">
        <f t="shared" si="9"/>
        <v>0</v>
      </c>
      <c r="AC50">
        <f t="shared" si="10"/>
        <v>0</v>
      </c>
      <c r="AD50">
        <f t="shared" si="11"/>
        <v>0</v>
      </c>
    </row>
    <row r="51" spans="1:32" ht="72" customHeight="1" thickTop="1" thickBot="1">
      <c r="A51" s="43" t="s">
        <v>81</v>
      </c>
      <c r="B51" s="44" t="s">
        <v>82</v>
      </c>
      <c r="C51" s="24" t="s">
        <v>83</v>
      </c>
      <c r="D51" s="25"/>
      <c r="E51" s="31" t="str">
        <f>"Quotation: "&amp;ROUND((AE51/AF51)*100,2)&amp;"%"</f>
        <v>Quotation: 0%</v>
      </c>
      <c r="AE51">
        <f>SUM(AA52:AA56)+SUM(AB52:AB56)*0.5</f>
        <v>0</v>
      </c>
      <c r="AF51">
        <f>COUNT(AA52:AA56)-SUM(AD52:AD56)</f>
        <v>5</v>
      </c>
    </row>
    <row r="52" spans="1:32" ht="85.2" thickTop="1" thickBot="1">
      <c r="A52" s="45" t="s">
        <v>84</v>
      </c>
      <c r="B52" s="46" t="s">
        <v>85</v>
      </c>
      <c r="C52" s="29"/>
      <c r="D52" s="29"/>
      <c r="E52" s="29"/>
      <c r="AA52">
        <f>IF(C52="Met",1,0)</f>
        <v>0</v>
      </c>
      <c r="AB52">
        <f>IF(C52="Partially Met",1,0)</f>
        <v>0</v>
      </c>
      <c r="AC52">
        <f>IF(C52="UnMet",1,0)</f>
        <v>0</v>
      </c>
      <c r="AD52">
        <f>IF(C52="Not Applicable",1,0)</f>
        <v>0</v>
      </c>
    </row>
    <row r="53" spans="1:32" ht="43.2" thickTop="1" thickBot="1">
      <c r="A53" s="47" t="s">
        <v>86</v>
      </c>
      <c r="B53" s="46" t="s">
        <v>87</v>
      </c>
      <c r="C53" s="29"/>
      <c r="D53" s="29"/>
      <c r="E53" s="29"/>
      <c r="AA53">
        <f>IF(C53="Met",1,0)</f>
        <v>0</v>
      </c>
      <c r="AB53">
        <f>IF(C53="Partially Met",1,0)</f>
        <v>0</v>
      </c>
      <c r="AC53">
        <f>IF(C53="UnMet",1,0)</f>
        <v>0</v>
      </c>
      <c r="AD53">
        <f>IF(C53="Not Applicable",1,0)</f>
        <v>0</v>
      </c>
    </row>
    <row r="54" spans="1:32" ht="85.2" thickTop="1" thickBot="1">
      <c r="A54" s="47" t="s">
        <v>88</v>
      </c>
      <c r="B54" s="46" t="s">
        <v>89</v>
      </c>
      <c r="C54" s="29"/>
      <c r="D54" s="29"/>
      <c r="E54" s="29"/>
      <c r="AA54">
        <f>IF(C54="Met",1,0)</f>
        <v>0</v>
      </c>
      <c r="AB54">
        <f>IF(C54="Partially Met",1,0)</f>
        <v>0</v>
      </c>
      <c r="AC54">
        <f>IF(C54="UnMet",1,0)</f>
        <v>0</v>
      </c>
      <c r="AD54">
        <f>IF(C54="Not Applicable",1,0)</f>
        <v>0</v>
      </c>
    </row>
    <row r="55" spans="1:32" ht="43.2" thickTop="1" thickBot="1">
      <c r="A55" s="47" t="s">
        <v>90</v>
      </c>
      <c r="B55" s="46" t="s">
        <v>91</v>
      </c>
      <c r="C55" s="29"/>
      <c r="D55" s="29"/>
      <c r="E55" s="29"/>
      <c r="AA55">
        <f>IF(C55="Met",1,0)</f>
        <v>0</v>
      </c>
      <c r="AB55">
        <f>IF(C55="Partially Met",1,0)</f>
        <v>0</v>
      </c>
      <c r="AC55">
        <f>IF(C55="UnMet",1,0)</f>
        <v>0</v>
      </c>
      <c r="AD55">
        <f>IF(C55="Not Applicable",1,0)</f>
        <v>0</v>
      </c>
    </row>
    <row r="56" spans="1:32" ht="64.2" thickTop="1" thickBot="1">
      <c r="A56" s="48" t="s">
        <v>92</v>
      </c>
      <c r="B56" s="46" t="s">
        <v>93</v>
      </c>
      <c r="C56" s="29"/>
      <c r="D56" s="29"/>
      <c r="E56" s="29"/>
      <c r="AA56">
        <f>IF(C56="Met",1,0)</f>
        <v>0</v>
      </c>
      <c r="AB56">
        <f>IF(C56="Partially Met",1,0)</f>
        <v>0</v>
      </c>
      <c r="AC56">
        <f>IF(C56="UnMet",1,0)</f>
        <v>0</v>
      </c>
      <c r="AD56">
        <f>IF(C56="Not Applicable",1,0)</f>
        <v>0</v>
      </c>
    </row>
    <row r="57" spans="1:32" ht="66.75" customHeight="1" thickTop="1" thickBot="1">
      <c r="A57" s="49" t="s">
        <v>94</v>
      </c>
      <c r="B57" s="44" t="s">
        <v>95</v>
      </c>
      <c r="C57" s="24" t="s">
        <v>44</v>
      </c>
      <c r="D57" s="25"/>
      <c r="E57" s="31" t="str">
        <f>"Quotation: "&amp;ROUND((AE57/AF57)*100,2)&amp;"%"</f>
        <v>Quotation: 0%</v>
      </c>
      <c r="AE57">
        <f>SUM(AA58:AA66)+SUM(AB58:AB66)*0.5</f>
        <v>0</v>
      </c>
      <c r="AF57">
        <f>COUNT(AA58:AA66)-SUM(AD58:AD66)</f>
        <v>8</v>
      </c>
    </row>
    <row r="58" spans="1:32" ht="22.2" thickTop="1" thickBot="1">
      <c r="A58" s="47" t="s">
        <v>96</v>
      </c>
      <c r="B58" s="41" t="s">
        <v>97</v>
      </c>
      <c r="C58" s="29"/>
      <c r="D58" s="29"/>
      <c r="E58" s="29"/>
      <c r="AA58">
        <f>IF(C58="Met",1,0)</f>
        <v>0</v>
      </c>
      <c r="AB58">
        <f>IF(C58="Partially Met",1,0)</f>
        <v>0</v>
      </c>
      <c r="AC58">
        <f>IF(C58="UnMet",1,0)</f>
        <v>0</v>
      </c>
      <c r="AD58">
        <f>IF(C58="Not Applicable",1,0)</f>
        <v>0</v>
      </c>
    </row>
    <row r="59" spans="1:32" ht="64.2" thickTop="1" thickBot="1">
      <c r="A59" s="47" t="s">
        <v>98</v>
      </c>
      <c r="B59" s="41" t="s">
        <v>99</v>
      </c>
      <c r="C59" s="29"/>
      <c r="D59" s="29"/>
      <c r="E59" s="29"/>
      <c r="AA59">
        <f>IF(C59="Met",1,0)</f>
        <v>0</v>
      </c>
      <c r="AB59">
        <f>IF(C59="Partially Met",1,0)</f>
        <v>0</v>
      </c>
      <c r="AC59">
        <f>IF(C59="UnMet",1,0)</f>
        <v>0</v>
      </c>
      <c r="AD59">
        <f>IF(C59="Not Applicable",1,0)</f>
        <v>0</v>
      </c>
    </row>
    <row r="60" spans="1:32" ht="43.2" thickTop="1" thickBot="1">
      <c r="A60" s="47" t="s">
        <v>100</v>
      </c>
      <c r="B60" s="41" t="s">
        <v>101</v>
      </c>
      <c r="C60" s="29"/>
      <c r="D60" s="29"/>
      <c r="E60" s="29"/>
      <c r="AA60">
        <f>IF(C60="Met",1,0)</f>
        <v>0</v>
      </c>
      <c r="AB60">
        <f>IF(C60="Partially Met",1,0)</f>
        <v>0</v>
      </c>
      <c r="AC60">
        <f>IF(C60="UnMet",1,0)</f>
        <v>0</v>
      </c>
      <c r="AD60">
        <f>IF(C60="Not Applicable",1,0)</f>
        <v>0</v>
      </c>
    </row>
    <row r="61" spans="1:32" ht="22.2" thickTop="1" thickBot="1">
      <c r="A61" s="47" t="s">
        <v>102</v>
      </c>
      <c r="B61" s="41" t="s">
        <v>103</v>
      </c>
      <c r="C61" s="29"/>
      <c r="D61" s="29"/>
      <c r="E61" s="29"/>
      <c r="AA61">
        <f>IF(C61="Met",1,0)</f>
        <v>0</v>
      </c>
      <c r="AB61">
        <f>IF(C61="Partially Met",1,0)</f>
        <v>0</v>
      </c>
      <c r="AC61">
        <f>IF(C61="UnMet",1,0)</f>
        <v>0</v>
      </c>
      <c r="AD61">
        <f>IF(C61="Not Applicable",1,0)</f>
        <v>0</v>
      </c>
    </row>
    <row r="62" spans="1:32" ht="43.2" thickTop="1" thickBot="1">
      <c r="A62" s="47" t="s">
        <v>104</v>
      </c>
      <c r="B62" s="41" t="s">
        <v>105</v>
      </c>
      <c r="C62" s="29"/>
      <c r="D62" s="29"/>
      <c r="E62" s="29"/>
      <c r="AA62">
        <f>IF(C62="Met",1,0)</f>
        <v>0</v>
      </c>
      <c r="AB62">
        <f>IF(C62="Partially Met",1,0)</f>
        <v>0</v>
      </c>
      <c r="AC62">
        <f>IF(C62="UnMet",1,0)</f>
        <v>0</v>
      </c>
      <c r="AD62">
        <f>IF(C62="Not Applicable",1,0)</f>
        <v>0</v>
      </c>
    </row>
    <row r="63" spans="1:32" ht="22.2" thickTop="1" thickBot="1">
      <c r="A63" s="32" t="s">
        <v>106</v>
      </c>
      <c r="B63" s="42" t="s">
        <v>107</v>
      </c>
      <c r="C63" s="50"/>
      <c r="D63" s="50"/>
      <c r="E63" s="50"/>
    </row>
    <row r="64" spans="1:32" ht="43.2" thickTop="1" thickBot="1">
      <c r="A64" s="37"/>
      <c r="B64" s="41" t="s">
        <v>108</v>
      </c>
      <c r="C64" s="29"/>
      <c r="D64" s="29"/>
      <c r="E64" s="29"/>
      <c r="AA64">
        <f>IF(C64="Met",1,0)</f>
        <v>0</v>
      </c>
      <c r="AB64">
        <f>IF(C64="Partially Met",1,0)</f>
        <v>0</v>
      </c>
      <c r="AC64">
        <f>IF(C64="UnMet",1,0)</f>
        <v>0</v>
      </c>
      <c r="AD64">
        <f>IF(C64="Not Applicable",1,0)</f>
        <v>0</v>
      </c>
    </row>
    <row r="65" spans="1:30" ht="22.2" thickTop="1" thickBot="1">
      <c r="A65" s="37"/>
      <c r="B65" s="41" t="s">
        <v>109</v>
      </c>
      <c r="C65" s="29"/>
      <c r="D65" s="29"/>
      <c r="E65" s="29"/>
      <c r="AA65">
        <f>IF(C65="Met",1,0)</f>
        <v>0</v>
      </c>
      <c r="AB65">
        <f>IF(C65="Partially Met",1,0)</f>
        <v>0</v>
      </c>
      <c r="AC65">
        <f>IF(C65="UnMet",1,0)</f>
        <v>0</v>
      </c>
      <c r="AD65">
        <f>IF(C65="Not Applicable",1,0)</f>
        <v>0</v>
      </c>
    </row>
    <row r="66" spans="1:30" ht="22.2" thickTop="1" thickBot="1">
      <c r="A66" s="38"/>
      <c r="B66" s="28" t="s">
        <v>110</v>
      </c>
      <c r="C66" s="51"/>
      <c r="D66" s="51"/>
      <c r="E66" s="51"/>
      <c r="AA66">
        <f>IF(C66="Met",1,0)</f>
        <v>0</v>
      </c>
      <c r="AB66">
        <f>IF(C66="Partially Met",1,0)</f>
        <v>0</v>
      </c>
      <c r="AC66">
        <f>IF(C66="UnMet",1,0)</f>
        <v>0</v>
      </c>
      <c r="AD66">
        <f>IF(C66="Not Applicable",1,0)</f>
        <v>0</v>
      </c>
    </row>
  </sheetData>
  <sheetProtection algorithmName="SHA-512" hashValue="aWh9fo/otBIMLK4NOCegfUIQF8Mqmeq1rctqt7h0/mtqrxOUr+LL3fXuX8yj6S/3n9bhXtOw454mZj3nhyTpMw==" saltValue="xL7OMw9iweFk0O+EvG0wmA==" spinCount="100000" sheet="1" objects="1" scenarios="1"/>
  <mergeCells count="17">
    <mergeCell ref="C51:D51"/>
    <mergeCell ref="C57:D57"/>
    <mergeCell ref="A63:A66"/>
    <mergeCell ref="C63:E63"/>
    <mergeCell ref="C12:D12"/>
    <mergeCell ref="A13:A24"/>
    <mergeCell ref="C13:E13"/>
    <mergeCell ref="C28:D28"/>
    <mergeCell ref="C37:D37"/>
    <mergeCell ref="A40:A49"/>
    <mergeCell ref="C40:E40"/>
    <mergeCell ref="A1:E1"/>
    <mergeCell ref="A2:E2"/>
    <mergeCell ref="A3:E3"/>
    <mergeCell ref="C4:E4"/>
    <mergeCell ref="A6:E6"/>
    <mergeCell ref="C7:D7"/>
  </mergeCells>
  <dataValidations count="1">
    <dataValidation type="list" showInputMessage="1" showErrorMessage="1" sqref="C8:C11 C14:C27 C29:C36 C38:C39 C41:C50 C52:C56 C58:C62 C64:C66">
      <formula1>"Met,Partially Met,UnMet,Not Applicable"</formula1>
    </dataValidation>
  </dataValidations>
  <pageMargins left="0.70866141732283505" right="0.70866141732283505" top="0.74803149606299202" bottom="0.74803149606299202" header="0.31496062992126" footer="0.31496062992126"/>
  <pageSetup paperSize="9" scale="38" orientation="landscape"/>
  <rowBreaks count="2" manualBreakCount="2">
    <brk id="27" max="6" man="1"/>
    <brk id="50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SMCS13</vt:lpstr>
      <vt:lpstr>SMCS13!Print_Area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Musa</dc:creator>
  <cp:lastModifiedBy>Ashraf Musa</cp:lastModifiedBy>
  <dcterms:created xsi:type="dcterms:W3CDTF">2025-08-22T13:38:01Z</dcterms:created>
  <dcterms:modified xsi:type="dcterms:W3CDTF">2025-08-22T13:38:02Z</dcterms:modified>
</cp:coreProperties>
</file>