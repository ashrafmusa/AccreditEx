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MEH\Downloads\"/>
    </mc:Choice>
  </mc:AlternateContent>
  <bookViews>
    <workbookView xWindow="0" yWindow="0" windowWidth="23040" windowHeight="8784"/>
  </bookViews>
  <sheets>
    <sheet name="SMCS.2" sheetId="1" r:id="rId1"/>
  </sheets>
  <definedNames>
    <definedName name="_Toc87294429" localSheetId="0">SMCS.2!$A$7</definedName>
    <definedName name="_Toc87294430" localSheetId="0">SMCS.2!$B$7</definedName>
    <definedName name="_xlnm.Print_Area" localSheetId="0">SMCS.2!$A$1:$F$133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32" i="1" l="1"/>
  <c r="AC132" i="1"/>
  <c r="AB132" i="1"/>
  <c r="AA132" i="1"/>
  <c r="AD131" i="1"/>
  <c r="AC131" i="1"/>
  <c r="AB131" i="1"/>
  <c r="AA131" i="1"/>
  <c r="AD130" i="1"/>
  <c r="AC130" i="1"/>
  <c r="AB130" i="1"/>
  <c r="AA130" i="1"/>
  <c r="AD129" i="1"/>
  <c r="AC129" i="1"/>
  <c r="AB129" i="1"/>
  <c r="AA129" i="1"/>
  <c r="AD128" i="1"/>
  <c r="AF126" i="1" s="1"/>
  <c r="AC128" i="1"/>
  <c r="AB128" i="1"/>
  <c r="AA128" i="1"/>
  <c r="AD127" i="1"/>
  <c r="AC127" i="1"/>
  <c r="AB127" i="1"/>
  <c r="AA127" i="1"/>
  <c r="AE126" i="1" s="1"/>
  <c r="E126" i="1" s="1"/>
  <c r="AD125" i="1"/>
  <c r="AC125" i="1"/>
  <c r="AB125" i="1"/>
  <c r="AA125" i="1"/>
  <c r="AD124" i="1"/>
  <c r="AC124" i="1"/>
  <c r="AB124" i="1"/>
  <c r="AA124" i="1"/>
  <c r="AD123" i="1"/>
  <c r="AC123" i="1"/>
  <c r="AB123" i="1"/>
  <c r="AA123" i="1"/>
  <c r="AD122" i="1"/>
  <c r="AC122" i="1"/>
  <c r="AB122" i="1"/>
  <c r="AA122" i="1"/>
  <c r="AD121" i="1"/>
  <c r="AC121" i="1"/>
  <c r="AB121" i="1"/>
  <c r="AA121" i="1"/>
  <c r="AD120" i="1"/>
  <c r="AC120" i="1"/>
  <c r="AB120" i="1"/>
  <c r="AA120" i="1"/>
  <c r="AD119" i="1"/>
  <c r="AC119" i="1"/>
  <c r="AB119" i="1"/>
  <c r="AA119" i="1"/>
  <c r="AF118" i="1"/>
  <c r="AE118" i="1"/>
  <c r="E118" i="1" s="1"/>
  <c r="AD117" i="1"/>
  <c r="AC117" i="1"/>
  <c r="AB117" i="1"/>
  <c r="AA117" i="1"/>
  <c r="AD116" i="1"/>
  <c r="AC116" i="1"/>
  <c r="AB116" i="1"/>
  <c r="AA116" i="1"/>
  <c r="AD115" i="1"/>
  <c r="AC115" i="1"/>
  <c r="AB115" i="1"/>
  <c r="AA115" i="1"/>
  <c r="AD114" i="1"/>
  <c r="AC114" i="1"/>
  <c r="AB114" i="1"/>
  <c r="AA114" i="1"/>
  <c r="AD113" i="1"/>
  <c r="AC113" i="1"/>
  <c r="AB113" i="1"/>
  <c r="AA113" i="1"/>
  <c r="AD112" i="1"/>
  <c r="AC112" i="1"/>
  <c r="AB112" i="1"/>
  <c r="AA112" i="1"/>
  <c r="AD111" i="1"/>
  <c r="AC111" i="1"/>
  <c r="AB111" i="1"/>
  <c r="AA111" i="1"/>
  <c r="AD110" i="1"/>
  <c r="AC110" i="1"/>
  <c r="AB110" i="1"/>
  <c r="AE108" i="1" s="1"/>
  <c r="E108" i="1" s="1"/>
  <c r="AA110" i="1"/>
  <c r="AD109" i="1"/>
  <c r="AC109" i="1"/>
  <c r="AB109" i="1"/>
  <c r="AA109" i="1"/>
  <c r="AF108" i="1"/>
  <c r="AD107" i="1"/>
  <c r="AC107" i="1"/>
  <c r="AB107" i="1"/>
  <c r="AA107" i="1"/>
  <c r="AD106" i="1"/>
  <c r="AC106" i="1"/>
  <c r="AB106" i="1"/>
  <c r="AA106" i="1"/>
  <c r="AD105" i="1"/>
  <c r="AC105" i="1"/>
  <c r="AB105" i="1"/>
  <c r="AA105" i="1"/>
  <c r="AD104" i="1"/>
  <c r="AC104" i="1"/>
  <c r="AB104" i="1"/>
  <c r="AA104" i="1"/>
  <c r="AD103" i="1"/>
  <c r="AC103" i="1"/>
  <c r="AB103" i="1"/>
  <c r="AA103" i="1"/>
  <c r="AD102" i="1"/>
  <c r="AC102" i="1"/>
  <c r="AB102" i="1"/>
  <c r="AA102" i="1"/>
  <c r="AD101" i="1"/>
  <c r="AC101" i="1"/>
  <c r="AB101" i="1"/>
  <c r="AA101" i="1"/>
  <c r="AD100" i="1"/>
  <c r="AC100" i="1"/>
  <c r="AB100" i="1"/>
  <c r="AA100" i="1"/>
  <c r="AD99" i="1"/>
  <c r="AC99" i="1"/>
  <c r="AB99" i="1"/>
  <c r="AA99" i="1"/>
  <c r="AD98" i="1"/>
  <c r="AC98" i="1"/>
  <c r="AB98" i="1"/>
  <c r="AA98" i="1"/>
  <c r="AF97" i="1" s="1"/>
  <c r="AD96" i="1"/>
  <c r="AC96" i="1"/>
  <c r="AB96" i="1"/>
  <c r="AA96" i="1"/>
  <c r="AD95" i="1"/>
  <c r="AC95" i="1"/>
  <c r="AB95" i="1"/>
  <c r="AA95" i="1"/>
  <c r="AD94" i="1"/>
  <c r="AC94" i="1"/>
  <c r="AB94" i="1"/>
  <c r="AA94" i="1"/>
  <c r="AD93" i="1"/>
  <c r="AC93" i="1"/>
  <c r="AB93" i="1"/>
  <c r="AA93" i="1"/>
  <c r="AD92" i="1"/>
  <c r="AC92" i="1"/>
  <c r="AB92" i="1"/>
  <c r="AA92" i="1"/>
  <c r="AD91" i="1"/>
  <c r="AC91" i="1"/>
  <c r="AB91" i="1"/>
  <c r="AA91" i="1"/>
  <c r="AD90" i="1"/>
  <c r="AC90" i="1"/>
  <c r="AB90" i="1"/>
  <c r="AA90" i="1"/>
  <c r="AF88" i="1" s="1"/>
  <c r="AD89" i="1"/>
  <c r="AC89" i="1"/>
  <c r="AB89" i="1"/>
  <c r="AA89" i="1"/>
  <c r="AE88" i="1" s="1"/>
  <c r="E88" i="1" s="1"/>
  <c r="AD87" i="1"/>
  <c r="AC87" i="1"/>
  <c r="AB87" i="1"/>
  <c r="AA87" i="1"/>
  <c r="AD86" i="1"/>
  <c r="AC86" i="1"/>
  <c r="AB86" i="1"/>
  <c r="AA86" i="1"/>
  <c r="AD85" i="1"/>
  <c r="AC85" i="1"/>
  <c r="AB85" i="1"/>
  <c r="AA85" i="1"/>
  <c r="AD84" i="1"/>
  <c r="AC84" i="1"/>
  <c r="AB84" i="1"/>
  <c r="AA84" i="1"/>
  <c r="AD83" i="1"/>
  <c r="AC83" i="1"/>
  <c r="AB83" i="1"/>
  <c r="AA83" i="1"/>
  <c r="AD82" i="1"/>
  <c r="AC82" i="1"/>
  <c r="AB82" i="1"/>
  <c r="AA82" i="1"/>
  <c r="AD81" i="1"/>
  <c r="AC81" i="1"/>
  <c r="AB81" i="1"/>
  <c r="AA81" i="1"/>
  <c r="AD80" i="1"/>
  <c r="AC80" i="1"/>
  <c r="AB80" i="1"/>
  <c r="AA80" i="1"/>
  <c r="AF79" i="1"/>
  <c r="AE79" i="1"/>
  <c r="E79" i="1" s="1"/>
  <c r="AD78" i="1"/>
  <c r="AC78" i="1"/>
  <c r="AB78" i="1"/>
  <c r="AA78" i="1"/>
  <c r="AD77" i="1"/>
  <c r="AC77" i="1"/>
  <c r="AB77" i="1"/>
  <c r="AA77" i="1"/>
  <c r="AD76" i="1"/>
  <c r="AC76" i="1"/>
  <c r="AB76" i="1"/>
  <c r="AA76" i="1"/>
  <c r="AD75" i="1"/>
  <c r="AC75" i="1"/>
  <c r="AB75" i="1"/>
  <c r="AA75" i="1"/>
  <c r="AD74" i="1"/>
  <c r="AC74" i="1"/>
  <c r="AB74" i="1"/>
  <c r="AA74" i="1"/>
  <c r="AD73" i="1"/>
  <c r="AC73" i="1"/>
  <c r="AB73" i="1"/>
  <c r="AA73" i="1"/>
  <c r="AD72" i="1"/>
  <c r="AC72" i="1"/>
  <c r="AB72" i="1"/>
  <c r="AA72" i="1"/>
  <c r="AD71" i="1"/>
  <c r="AC71" i="1"/>
  <c r="AB71" i="1"/>
  <c r="AA71" i="1"/>
  <c r="AD69" i="1"/>
  <c r="AC69" i="1"/>
  <c r="AB69" i="1"/>
  <c r="AA69" i="1"/>
  <c r="AD68" i="1"/>
  <c r="AC68" i="1"/>
  <c r="AB68" i="1"/>
  <c r="AA68" i="1"/>
  <c r="AD67" i="1"/>
  <c r="AC67" i="1"/>
  <c r="AB67" i="1"/>
  <c r="AA67" i="1"/>
  <c r="AD66" i="1"/>
  <c r="AC66" i="1"/>
  <c r="AB66" i="1"/>
  <c r="AE63" i="1" s="1"/>
  <c r="E63" i="1" s="1"/>
  <c r="AA66" i="1"/>
  <c r="AD64" i="1"/>
  <c r="AC64" i="1"/>
  <c r="AB64" i="1"/>
  <c r="AA64" i="1"/>
  <c r="AF63" i="1"/>
  <c r="AD62" i="1"/>
  <c r="AC62" i="1"/>
  <c r="AB62" i="1"/>
  <c r="AA62" i="1"/>
  <c r="AD61" i="1"/>
  <c r="AC61" i="1"/>
  <c r="AB61" i="1"/>
  <c r="AA61" i="1"/>
  <c r="AD60" i="1"/>
  <c r="AC60" i="1"/>
  <c r="AB60" i="1"/>
  <c r="AA60" i="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2" i="1"/>
  <c r="AC52" i="1"/>
  <c r="AB52" i="1"/>
  <c r="AA52" i="1"/>
  <c r="AD51" i="1"/>
  <c r="AC51" i="1"/>
  <c r="AB51" i="1"/>
  <c r="AA51" i="1"/>
  <c r="AD50" i="1"/>
  <c r="AC50" i="1"/>
  <c r="AB50" i="1"/>
  <c r="AA50" i="1"/>
  <c r="AD49" i="1"/>
  <c r="AC49" i="1"/>
  <c r="AB49" i="1"/>
  <c r="AA49" i="1"/>
  <c r="AD47" i="1"/>
  <c r="AC47" i="1"/>
  <c r="AB47" i="1"/>
  <c r="AA47" i="1"/>
  <c r="AD45" i="1"/>
  <c r="AC45" i="1"/>
  <c r="AB45" i="1"/>
  <c r="AA45" i="1"/>
  <c r="AD44" i="1"/>
  <c r="AC44" i="1"/>
  <c r="AB44" i="1"/>
  <c r="AA44" i="1"/>
  <c r="AD43" i="1"/>
  <c r="AC43" i="1"/>
  <c r="AB43" i="1"/>
  <c r="AA43" i="1"/>
  <c r="AD42" i="1"/>
  <c r="AC42" i="1"/>
  <c r="AB42" i="1"/>
  <c r="AA42" i="1"/>
  <c r="AD40" i="1"/>
  <c r="AC40" i="1"/>
  <c r="AB40" i="1"/>
  <c r="AA40" i="1"/>
  <c r="AD39" i="1"/>
  <c r="AC39" i="1"/>
  <c r="AB39" i="1"/>
  <c r="AA39" i="1"/>
  <c r="AD38" i="1"/>
  <c r="AC38" i="1"/>
  <c r="AB38" i="1"/>
  <c r="AA38" i="1"/>
  <c r="AD36" i="1"/>
  <c r="AC36" i="1"/>
  <c r="AB36" i="1"/>
  <c r="AA36" i="1"/>
  <c r="AD35" i="1"/>
  <c r="AC35" i="1"/>
  <c r="AB35" i="1"/>
  <c r="AA35" i="1"/>
  <c r="AD34" i="1"/>
  <c r="AC34" i="1"/>
  <c r="AB34" i="1"/>
  <c r="AA34" i="1"/>
  <c r="AD33" i="1"/>
  <c r="AC33" i="1"/>
  <c r="AB33" i="1"/>
  <c r="AA33" i="1"/>
  <c r="AD32" i="1"/>
  <c r="AC32" i="1"/>
  <c r="AB32" i="1"/>
  <c r="AA32" i="1"/>
  <c r="AD31" i="1"/>
  <c r="AC31" i="1"/>
  <c r="AB31" i="1"/>
  <c r="AA31" i="1"/>
  <c r="AF28" i="1" s="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E20" i="1" s="1"/>
  <c r="E20" i="1" s="1"/>
  <c r="AF20" i="1"/>
  <c r="AD19" i="1"/>
  <c r="AC19" i="1"/>
  <c r="AB19" i="1"/>
  <c r="AA19" i="1"/>
  <c r="AD18" i="1"/>
  <c r="AC18" i="1"/>
  <c r="AB18" i="1"/>
  <c r="AA18" i="1"/>
  <c r="AD17" i="1"/>
  <c r="AC17" i="1"/>
  <c r="AB17" i="1"/>
  <c r="AA17" i="1"/>
  <c r="AD16" i="1"/>
  <c r="AC16" i="1"/>
  <c r="AB16" i="1"/>
  <c r="AA16" i="1"/>
  <c r="AD15" i="1"/>
  <c r="AC15" i="1"/>
  <c r="AB15" i="1"/>
  <c r="AA15" i="1"/>
  <c r="AD14" i="1"/>
  <c r="AC14" i="1"/>
  <c r="AB14" i="1"/>
  <c r="AA14" i="1"/>
  <c r="AD13" i="1"/>
  <c r="AC13" i="1"/>
  <c r="AB13" i="1"/>
  <c r="AA13" i="1"/>
  <c r="AF12" i="1"/>
  <c r="AE12" i="1"/>
  <c r="E12" i="1" s="1"/>
  <c r="AD11" i="1"/>
  <c r="AC11" i="1"/>
  <c r="AB11" i="1"/>
  <c r="AA11" i="1"/>
  <c r="AD10" i="1"/>
  <c r="AC10" i="1"/>
  <c r="AB10" i="1"/>
  <c r="AA10" i="1"/>
  <c r="AD9" i="1"/>
  <c r="AC9" i="1"/>
  <c r="AB9" i="1"/>
  <c r="AA9" i="1"/>
  <c r="AD8" i="1"/>
  <c r="AC8" i="1"/>
  <c r="AB8" i="1"/>
  <c r="AA8" i="1"/>
  <c r="AF7" i="1" s="1"/>
  <c r="AA4" i="1" l="1"/>
  <c r="AB4" i="1"/>
  <c r="AE7" i="1"/>
  <c r="E7" i="1" s="1"/>
  <c r="AE28" i="1"/>
  <c r="E28" i="1" s="1"/>
  <c r="AE97" i="1"/>
  <c r="E97" i="1" s="1"/>
  <c r="C4" i="1" l="1"/>
</calcChain>
</file>

<file path=xl/sharedStrings.xml><?xml version="1.0" encoding="utf-8"?>
<sst xmlns="http://schemas.openxmlformats.org/spreadsheetml/2006/main" count="240" uniqueCount="236">
  <si>
    <t xml:space="preserve"> Quality Assurance Center </t>
  </si>
  <si>
    <t xml:space="preserve">Oman Healthcare Accrediation System </t>
  </si>
  <si>
    <t xml:space="preserve">Self Assessment Tool (SAT) </t>
  </si>
  <si>
    <t>Chapter 4</t>
  </si>
  <si>
    <t>Specialized Medical Care Services (SMCS)</t>
  </si>
  <si>
    <t>Conformity Level</t>
  </si>
  <si>
    <t xml:space="preserve">Evidence </t>
  </si>
  <si>
    <t xml:space="preserve">Comments </t>
  </si>
  <si>
    <t xml:space="preserve">Laboratory  </t>
  </si>
  <si>
    <t>SMCS.17</t>
  </si>
  <si>
    <t>The hospital has laboratory services that are applicable to national laws and regulations, to meet patient needs.</t>
  </si>
  <si>
    <t>Total Measures: 4</t>
  </si>
  <si>
    <t>SMCS.17.a</t>
  </si>
  <si>
    <t xml:space="preserve">The hospital has laboratory services that are under national standards, laws, and regulations. </t>
  </si>
  <si>
    <t>SMCS.17.b</t>
  </si>
  <si>
    <t>The laboratory services unit has a clear scope of services to meet the needs related to the hospital mission and patient populations, emergency needs, covering twenty- four hours a day, seven days a week.</t>
  </si>
  <si>
    <t>SMCS.17.c</t>
  </si>
  <si>
    <t>Essential, simple laboratory services are available twenty- four hours a day, seven days a week. This includes hematology services, biochemistry, and blood bank).</t>
  </si>
  <si>
    <t>SMCS.17.d</t>
  </si>
  <si>
    <t>When special diagnostic tests are not available, there is clear process for referral and follow up of diagnostic tests.</t>
  </si>
  <si>
    <r>
      <rPr>
        <b/>
        <sz val="18"/>
        <color theme="1"/>
        <rFont val="Times New Roman"/>
        <charset val="134"/>
      </rPr>
      <t xml:space="preserve">SMCS.18  </t>
    </r>
    <r>
      <rPr>
        <sz val="18"/>
        <color theme="1"/>
        <rFont val="Times New Roman"/>
        <charset val="134"/>
      </rPr>
      <t xml:space="preserve">  </t>
    </r>
  </si>
  <si>
    <t xml:space="preserve">
The laboratory has qualified, competent staff to provide the defined scope of services.
</t>
  </si>
  <si>
    <t>Total Measures: 7</t>
  </si>
  <si>
    <t>SMCS.18.a</t>
  </si>
  <si>
    <t>The director/head of the laboratory services is qualified by education, training and experience in the field</t>
  </si>
  <si>
    <t>SMCS.18.b</t>
  </si>
  <si>
    <t xml:space="preserve">All laboratory staff are appropriately qualified (by education and training), and experienced to manage and perform tests and interpret results, according to the complexity of laboratory scope of services. </t>
  </si>
  <si>
    <t>SMCS.18.c</t>
  </si>
  <si>
    <t>Laboratory has clear job description for each staff category</t>
  </si>
  <si>
    <t>SMCS.18.d</t>
  </si>
  <si>
    <t>Staff with experience in the area manage different laboratory sections.</t>
  </si>
  <si>
    <t>SMCS.18.e</t>
  </si>
  <si>
    <t>New laboratory personnel receive an orientation to the hospital and laboratory services.</t>
  </si>
  <si>
    <t>SMCS.18.f</t>
  </si>
  <si>
    <t>All laboratory staff have the required education, training, qualifications, and experience to administer and perform the tests and interpret the results.</t>
  </si>
  <si>
    <t>SMCS.18.g</t>
  </si>
  <si>
    <t xml:space="preserve">Laboratory uses appropriate competency assessment tools to assess staff performance. </t>
  </si>
  <si>
    <r>
      <rPr>
        <b/>
        <sz val="18"/>
        <color theme="1"/>
        <rFont val="Times New Roman"/>
        <charset val="134"/>
      </rPr>
      <t xml:space="preserve">SMCS.19  </t>
    </r>
    <r>
      <rPr>
        <sz val="18"/>
        <color theme="1"/>
        <rFont val="Times New Roman"/>
        <charset val="134"/>
      </rPr>
      <t xml:space="preserve"> </t>
    </r>
  </si>
  <si>
    <t>The laboratory has an established comprehensive quality management system (QMS).</t>
  </si>
  <si>
    <t>SMCS.19.a</t>
  </si>
  <si>
    <t>The laboratory management has an established, documented, implemented and monitored quality management system manual.</t>
  </si>
  <si>
    <t>SMCS.19.b</t>
  </si>
  <si>
    <t>The laboratory management has assigned a quality manger or a quality focal point with clear responsibilities and roles.</t>
  </si>
  <si>
    <t>SMCS.19.c</t>
  </si>
  <si>
    <t>The quality management system is fulfilling the integration of all processes, policies, and objectives in the testing cycle and meets the needs of the users.</t>
  </si>
  <si>
    <t>SMCS.19.d</t>
  </si>
  <si>
    <t xml:space="preserve">Laboratory quality indicators are established and monitored. </t>
  </si>
  <si>
    <t>SMCS.19.e</t>
  </si>
  <si>
    <t>All laboratory staff are oriented about the quality management system in the lab.</t>
  </si>
  <si>
    <t>SMCS.19.f</t>
  </si>
  <si>
    <t xml:space="preserve">There is periodic audit conducted to assess compliance to policies related to quality management in the lab. </t>
  </si>
  <si>
    <t>SMCS.19.g</t>
  </si>
  <si>
    <t xml:space="preserve">Non-conformance management system is followed with corrective action plan. </t>
  </si>
  <si>
    <t xml:space="preserve">SMCS.20  </t>
  </si>
  <si>
    <t>The laboratory has an implemented, health safety program.</t>
  </si>
  <si>
    <t>Total Measures: 28</t>
  </si>
  <si>
    <t>SMCS.20.a</t>
  </si>
  <si>
    <t>The laboratory has an approved health and safety program, and infection control policies and procedures manuals that comply with the national laws and regulations. This includes but is not limited to:</t>
  </si>
  <si>
    <t>SMCS. 18.a.a Laboratory health and safety measures including</t>
  </si>
  <si>
    <t>               i.         Standard Precautions</t>
  </si>
  <si>
    <t>              ii.         Personal Protective Equipment (PPE)</t>
  </si>
  <si>
    <t>            iii.         Occupational Health &amp; Staff Immunization</t>
  </si>
  <si>
    <t xml:space="preserve">            iv.         Laboratory Signs and symbols </t>
  </si>
  <si>
    <t>              v.         Laboratory Visitors</t>
  </si>
  <si>
    <t>            vi.         House Keeping practices</t>
  </si>
  <si>
    <t>SMCS. 18.a.b   Biological safety.</t>
  </si>
  <si>
    <t>           vii.         Labeling, transporting, handling and storage of specimen</t>
  </si>
  <si>
    <t>         viii.         Handling of high-risk specimen</t>
  </si>
  <si>
    <t>             ix.         Biological spillage guideline</t>
  </si>
  <si>
    <t>SMCS. .18.ac   Chemical safety</t>
  </si>
  <si>
    <t>              x.         Procedure of handling chemicals</t>
  </si>
  <si>
    <t>             xi.         Hazardous chemicals</t>
  </si>
  <si>
    <t>           xii.         Storage of chemicals</t>
  </si>
  <si>
    <t>          xiii.         Chemical spillage guideline</t>
  </si>
  <si>
    <t>SMCS. .18.ad   Laboratory Equipment and machinery safety</t>
  </si>
  <si>
    <t>          xiv.         Guideline for proper use of laboratory equipment</t>
  </si>
  <si>
    <t>SMCS. .18.ae   Fire safety</t>
  </si>
  <si>
    <t>           xv.         Guidelines for fire safety</t>
  </si>
  <si>
    <t>          xvi.         Training for fire safety</t>
  </si>
  <si>
    <t>SMCS. .18.af   Disinfection and Sterilization safety</t>
  </si>
  <si>
    <t>SMCS. .18.ag   Guideline for handling, storage and disposal of waste</t>
  </si>
  <si>
    <t>SMCS.20.b</t>
  </si>
  <si>
    <t xml:space="preserve">The laboratory has a health and safety officer with clear job roles and responsibilities.  </t>
  </si>
  <si>
    <t>SMCS.20.c</t>
  </si>
  <si>
    <t>The laboratory has a risk management plan which addresses potential safety risks in the lab and other areas outside the laboratory where laboratory services are provided</t>
  </si>
  <si>
    <t>SMCS.20.d</t>
  </si>
  <si>
    <t xml:space="preserve">The laboratory has a safety and security training plan, documented. </t>
  </si>
  <si>
    <t>SMCS.20.e</t>
  </si>
  <si>
    <t>The laboratory has an internal and external disaster plan.</t>
  </si>
  <si>
    <t>SMCS.20.f</t>
  </si>
  <si>
    <t>The laboratory dress code policy is implemented and monitored</t>
  </si>
  <si>
    <t>SMCS.20.g</t>
  </si>
  <si>
    <t>An updated detailed inventory of all hazardous material is available.</t>
  </si>
  <si>
    <t>SMCS.20.h</t>
  </si>
  <si>
    <t>Staff has received necessary vaccinations as per the requirement of performed tasks.</t>
  </si>
  <si>
    <t>SMCS.20.i</t>
  </si>
  <si>
    <t>Infectious and hazardous waste are handled, treated and disposed appropriately.</t>
  </si>
  <si>
    <t>SMCS.20.j</t>
  </si>
  <si>
    <t xml:space="preserve">All incident and injuries are addressed according to the protocols. </t>
  </si>
  <si>
    <t>SMCS.20.k</t>
  </si>
  <si>
    <t>There is regular audit plan to access compliance to the safety program guidelines.</t>
  </si>
  <si>
    <r>
      <rPr>
        <b/>
        <sz val="18"/>
        <color theme="1"/>
        <rFont val="Times New Roman"/>
        <charset val="134"/>
      </rPr>
      <t>SMCS.21</t>
    </r>
    <r>
      <rPr>
        <sz val="18"/>
        <color theme="1"/>
        <rFont val="Times New Roman"/>
        <charset val="134"/>
      </rPr>
      <t xml:space="preserve"> </t>
    </r>
  </si>
  <si>
    <t xml:space="preserve">The laboratory has a suitable adequate workspace, services, to maintain a safe and appropriate working environment.      </t>
  </si>
  <si>
    <t>Total Measures: 13</t>
  </si>
  <si>
    <t>SMCS.21.a</t>
  </si>
  <si>
    <t>The laboratory has standard working environment guidelines.</t>
  </si>
  <si>
    <t>SMCS.21.b</t>
  </si>
  <si>
    <t xml:space="preserve">Hospital ensures there is adequate space allocated for the laboratory, that provides: </t>
  </si>
  <si>
    <r>
      <rPr>
        <b/>
        <sz val="14"/>
        <color rgb="FF000000"/>
        <rFont val="Times New Roman"/>
        <charset val="134"/>
      </rPr>
      <t xml:space="preserve">SMCS.19.b.1  </t>
    </r>
    <r>
      <rPr>
        <sz val="14"/>
        <color rgb="FF000000"/>
        <rFont val="Times New Roman"/>
        <charset val="134"/>
      </rPr>
      <t>Facilities for performing laboratory procedures and activities</t>
    </r>
  </si>
  <si>
    <r>
      <rPr>
        <b/>
        <sz val="14"/>
        <color rgb="FF000000"/>
        <rFont val="Times New Roman"/>
        <charset val="134"/>
      </rPr>
      <t xml:space="preserve">SMCS.19.b.2 </t>
    </r>
    <r>
      <rPr>
        <sz val="14"/>
        <color rgb="FF000000"/>
        <rFont val="Times New Roman"/>
        <charset val="134"/>
      </rPr>
      <t>Facilities for safe, and adequate storage space for reagents, materials,</t>
    </r>
  </si>
  <si>
    <r>
      <rPr>
        <b/>
        <sz val="14"/>
        <color rgb="FF000000"/>
        <rFont val="Times New Roman"/>
        <charset val="134"/>
      </rPr>
      <t xml:space="preserve">SMCS.19.b3  </t>
    </r>
    <r>
      <rPr>
        <sz val="14"/>
        <color rgb="FF000000"/>
        <rFont val="Times New Roman"/>
        <charset val="134"/>
      </rPr>
      <t>Adequate patient waiting areas</t>
    </r>
    <r>
      <rPr>
        <b/>
        <sz val="14"/>
        <color rgb="FF000000"/>
        <rFont val="Times New Roman"/>
        <charset val="134"/>
      </rPr>
      <t>.</t>
    </r>
  </si>
  <si>
    <r>
      <rPr>
        <b/>
        <sz val="14"/>
        <color rgb="FF000000"/>
        <rFont val="Times New Roman"/>
        <charset val="134"/>
      </rPr>
      <t xml:space="preserve">SMCS.19.b.4  </t>
    </r>
    <r>
      <rPr>
        <sz val="14"/>
        <color rgb="FF000000"/>
        <rFont val="Times New Roman"/>
        <charset val="134"/>
      </rPr>
      <t>Adequate space for each laboratory section/service</t>
    </r>
  </si>
  <si>
    <t>SMCS.21.c</t>
  </si>
  <si>
    <t>Hospital laboratory management ensures the availability of</t>
  </si>
  <si>
    <r>
      <rPr>
        <b/>
        <sz val="14"/>
        <color rgb="FF000000"/>
        <rFont val="Times New Roman"/>
        <charset val="134"/>
      </rPr>
      <t xml:space="preserve">SMCS.19.c.1 </t>
    </r>
    <r>
      <rPr>
        <sz val="14"/>
        <color rgb="FF000000"/>
        <rFont val="Times New Roman"/>
        <charset val="134"/>
      </rPr>
      <t xml:space="preserve">Adequate electrical outlets and emergency power, </t>
    </r>
  </si>
  <si>
    <r>
      <rPr>
        <b/>
        <sz val="14"/>
        <color rgb="FF000000"/>
        <rFont val="Times New Roman"/>
        <charset val="134"/>
      </rPr>
      <t xml:space="preserve">SMCS.19.c.2 </t>
    </r>
    <r>
      <rPr>
        <sz val="14"/>
        <color rgb="FF000000"/>
        <rFont val="Times New Roman"/>
        <charset val="134"/>
      </rPr>
      <t xml:space="preserve">Adequate lightening, and ventilation </t>
    </r>
  </si>
  <si>
    <r>
      <rPr>
        <b/>
        <sz val="14"/>
        <color rgb="FF000000"/>
        <rFont val="Times New Roman"/>
        <charset val="134"/>
      </rPr>
      <t xml:space="preserve">SMCS.19.c.3 </t>
    </r>
    <r>
      <rPr>
        <sz val="14"/>
        <color rgb="FF000000"/>
        <rFont val="Times New Roman"/>
        <charset val="134"/>
      </rPr>
      <t xml:space="preserve">Adequate water taps and sinks, </t>
    </r>
  </si>
  <si>
    <r>
      <rPr>
        <b/>
        <sz val="14"/>
        <color rgb="FF000000"/>
        <rFont val="Times New Roman"/>
        <charset val="134"/>
      </rPr>
      <t xml:space="preserve">SMCS.19.c.4 </t>
    </r>
    <r>
      <rPr>
        <sz val="14"/>
        <color rgb="FF000000"/>
        <rFont val="Times New Roman"/>
        <charset val="134"/>
      </rPr>
      <t>Adequate safety signs,</t>
    </r>
  </si>
  <si>
    <r>
      <rPr>
        <b/>
        <sz val="14"/>
        <color rgb="FF000000"/>
        <rFont val="Times New Roman"/>
        <charset val="134"/>
      </rPr>
      <t xml:space="preserve">SMCS.20.c.5 </t>
    </r>
    <r>
      <rPr>
        <sz val="14"/>
        <color rgb="FF000000"/>
        <rFont val="Times New Roman"/>
        <charset val="134"/>
      </rPr>
      <t xml:space="preserve">Clean dry floor, ceiling, walls. </t>
    </r>
  </si>
  <si>
    <t>SMCS.21.d</t>
  </si>
  <si>
    <t>Hospital laboratory management ensures that access to laboratory areas is controlled</t>
  </si>
  <si>
    <t>SMCS.21.e</t>
  </si>
  <si>
    <t>The laboratory controls, regularly audits and monitors the environmental conditions.</t>
  </si>
  <si>
    <t>SMCS.21.f</t>
  </si>
  <si>
    <t>The laboratory has a clear  procedure in the event of power failure</t>
  </si>
  <si>
    <t>SMCS.22</t>
  </si>
  <si>
    <t>The laboratory has a defined system for supply and management of reagents and consumables.</t>
  </si>
  <si>
    <t>Total Measures: 8</t>
  </si>
  <si>
    <t xml:space="preserve">The laboratory has assigned authorized personnel with defined job responsibilities for reagents and consumables. </t>
  </si>
  <si>
    <t>SMCS.22.b</t>
  </si>
  <si>
    <t>The laboratory has implemented policies and procedures for the appropriate management and storage of reagents and consumables, according to the manufacturer’s recommendations under controlled settings.</t>
  </si>
  <si>
    <t>SMCS.22.c</t>
  </si>
  <si>
    <t>The laboratory management ensures that reagents and their consumables are monitored using an appropriate, standardized temperature monitoring system.</t>
  </si>
  <si>
    <t>SMCS.22.d</t>
  </si>
  <si>
    <t>The laboratory has an evaluation protocol for new reagents.</t>
  </si>
  <si>
    <t>SMCS.22.e</t>
  </si>
  <si>
    <t>The laboratory has an inventory system for reagents and consumables.</t>
  </si>
  <si>
    <t>SMCS.22.f</t>
  </si>
  <si>
    <t>The laboratory has procedures available for Malfunction/manufacturing defects of reagents and consumables.</t>
  </si>
  <si>
    <t>SMCS.22.g</t>
  </si>
  <si>
    <t>Safety Data Sheets are available for all applicable reagents.</t>
  </si>
  <si>
    <t>SMCS.22.h</t>
  </si>
  <si>
    <t xml:space="preserve">Laboratory has an implemented audit system to ensure safety and functions of the reagents </t>
  </si>
  <si>
    <t xml:space="preserve">SMCS.23  </t>
  </si>
  <si>
    <t>The laboratory has a system for introducing, validating, and the management of equipment.</t>
  </si>
  <si>
    <t>SMCS.23a</t>
  </si>
  <si>
    <t xml:space="preserve">Laboratory implements policies and procedures for equipment selection, specification, describing the methods of validation for its intended use.  </t>
  </si>
  <si>
    <t>SMCS.23.b</t>
  </si>
  <si>
    <t>Laboratory has a copy of all equipment maintenance contracts.</t>
  </si>
  <si>
    <t>SMCS.23.c</t>
  </si>
  <si>
    <t>Laboratory has an equipment’s S.O.P</t>
  </si>
  <si>
    <t>SMCS.23.d</t>
  </si>
  <si>
    <t>There are clear procedures for the calibration of equipment with traceable certificates of calibrators.</t>
  </si>
  <si>
    <t>SMCS.23.e</t>
  </si>
  <si>
    <t>Laboratory has a procedure for the verification of equipment performance.</t>
  </si>
  <si>
    <t>SMCS.23.f</t>
  </si>
  <si>
    <t>Equipment is operated and maintained by trained and competent personnel.</t>
  </si>
  <si>
    <t>SMCS.23.g</t>
  </si>
  <si>
    <t>Equipment Log books are maintained.</t>
  </si>
  <si>
    <t>SMCS.23.h</t>
  </si>
  <si>
    <t xml:space="preserve">Laboratory management conducts regular audit to ensure compliance to policies and procedures to ensure safe equipment management. </t>
  </si>
  <si>
    <t>SMCS.24</t>
  </si>
  <si>
    <t>The hospital an established laboratory quality assurance program.</t>
  </si>
  <si>
    <t>Total Measures: 10</t>
  </si>
  <si>
    <t>SMCS.24.a</t>
  </si>
  <si>
    <t>The laboratory implements policies and procedures on quality performance indicators and systems checks.</t>
  </si>
  <si>
    <t>SMCS.24.b</t>
  </si>
  <si>
    <t>The laboratory internal quality assurance program is established</t>
  </si>
  <si>
    <t>SMCS.24.c</t>
  </si>
  <si>
    <t>The internal quality control results are reviewed and analyzed regularly with needed corrective action plans.</t>
  </si>
  <si>
    <t>SMCS.24.d</t>
  </si>
  <si>
    <t>The laboratory external quality assurance program is available</t>
  </si>
  <si>
    <t>SMCS.24..e</t>
  </si>
  <si>
    <t>The program addresses verification and / or validation of test methods.</t>
  </si>
  <si>
    <t>SMCS.24.f</t>
  </si>
  <si>
    <t>The program addresses surveillance of test results.</t>
  </si>
  <si>
    <t>SMCS.24.g</t>
  </si>
  <si>
    <t>The Laboratory has a documented procedure to identify, manage and control nonconformance.</t>
  </si>
  <si>
    <t>SMCS.24.h</t>
  </si>
  <si>
    <t>The program includes the documentation of corrective and preventive actions.</t>
  </si>
  <si>
    <t>SMCS.24.i</t>
  </si>
  <si>
    <t>All laboratory staff are well oriented on laboratory quality assurance program.</t>
  </si>
  <si>
    <t>SMCS.24.j</t>
  </si>
  <si>
    <t xml:space="preserve">There is constant audit to assess compliance to the QA program implementation </t>
  </si>
  <si>
    <t>SMCS.25</t>
  </si>
  <si>
    <t>Laboratory implements a total Testing Processes (TTP) system</t>
  </si>
  <si>
    <t>Total Measures: 9</t>
  </si>
  <si>
    <t>SMCS.25.a</t>
  </si>
  <si>
    <t>Laboratory has an updated user manual, reception and rejection standard operation procedures S.O.P.</t>
  </si>
  <si>
    <t>SMCS.25.b</t>
  </si>
  <si>
    <t>The laboratory has a standard operation procedure (SOP) that clearly explains the pre-examination, examination and post examination process (e.g., Examination, reporting, storage, retention and disposal of clinical samples) with authorized responsibilities including routine, urgent, and referral samples.</t>
  </si>
  <si>
    <t>SMCS.25.c</t>
  </si>
  <si>
    <t>The laboratory ensures the selection of approved and validated examination procedure before introducing the test into service.</t>
  </si>
  <si>
    <t>SMCS.25.d</t>
  </si>
  <si>
    <t xml:space="preserve">The internal and the external quality control systems are implemented, interpreted, data analyzed and corrective action performed and maintained. </t>
  </si>
  <si>
    <t>SMCS.25.e</t>
  </si>
  <si>
    <t>The laboratory defines the biological reference intervals and /or clinical decision limits.</t>
  </si>
  <si>
    <t>SMCS.25.f</t>
  </si>
  <si>
    <t>All staff laboratory staff are oriented and a ware about the SOP.</t>
  </si>
  <si>
    <t>SMCS.25.g</t>
  </si>
  <si>
    <t>The lab has a defined system for reporting method with an effective communication with the end-users by authorized person with a clear and accurate reporting format.</t>
  </si>
  <si>
    <t>SMCS.25.h</t>
  </si>
  <si>
    <t>There are clear procedures for the amendment of results.</t>
  </si>
  <si>
    <t>SMCS.25.i</t>
  </si>
  <si>
    <t>Laboratory monitors key quality indicators covering the pre-examination, examination and post examination process phases of the laboratory operations.</t>
  </si>
  <si>
    <t xml:space="preserve">SMCS.26 </t>
  </si>
  <si>
    <t>Hospital has a comprehensive system for effective management and use of point of care testing (PoCT ).</t>
  </si>
  <si>
    <t>SMCS.26.a</t>
  </si>
  <si>
    <r>
      <rPr>
        <sz val="14"/>
        <color rgb="FF000000"/>
        <rFont val="Times New Roman"/>
        <charset val="134"/>
      </rPr>
      <t>The laboratory implements </t>
    </r>
    <r>
      <rPr>
        <b/>
        <sz val="12"/>
        <color rgb="FF0E101A"/>
        <rFont val="Times New Roman"/>
        <charset val="134"/>
      </rPr>
      <t> PoCT</t>
    </r>
    <r>
      <rPr>
        <sz val="12"/>
        <color theme="1"/>
        <rFont val="Times New Roman"/>
        <charset val="134"/>
      </rPr>
      <t> policies and procedures, which describe responsibilities of managing the </t>
    </r>
    <r>
      <rPr>
        <b/>
        <sz val="12"/>
        <color rgb="FF0E101A"/>
        <rFont val="Times New Roman"/>
        <charset val="134"/>
      </rPr>
      <t> PoCT</t>
    </r>
    <r>
      <rPr>
        <sz val="12"/>
        <color theme="1"/>
        <rFont val="Times New Roman"/>
        <charset val="134"/>
      </rPr>
      <t> to the lab, process of </t>
    </r>
    <r>
      <rPr>
        <b/>
        <sz val="12"/>
        <color rgb="FF0E101A"/>
        <rFont val="Times New Roman"/>
        <charset val="134"/>
      </rPr>
      <t> PoCT</t>
    </r>
    <r>
      <rPr>
        <sz val="12"/>
        <color theme="1"/>
        <rFont val="Times New Roman"/>
        <charset val="134"/>
      </rPr>
      <t>, training requirement, quality control testing of </t>
    </r>
    <r>
      <rPr>
        <b/>
        <sz val="12"/>
        <color rgb="FF0E101A"/>
        <rFont val="Times New Roman"/>
        <charset val="134"/>
      </rPr>
      <t> PoCT</t>
    </r>
    <r>
      <rPr>
        <sz val="12"/>
        <color theme="1"/>
        <rFont val="Times New Roman"/>
        <charset val="134"/>
      </rPr>
      <t> methods. </t>
    </r>
  </si>
  <si>
    <t>SMCS.26.b</t>
  </si>
  <si>
    <r>
      <rPr>
        <sz val="14"/>
        <color rgb="FF000000"/>
        <rFont val="Times New Roman"/>
        <charset val="134"/>
      </rPr>
      <t xml:space="preserve">Laboratory has </t>
    </r>
    <r>
      <rPr>
        <b/>
        <sz val="12"/>
        <color theme="1"/>
        <rFont val="Times New Roman"/>
        <charset val="134"/>
      </rPr>
      <t>PoCT</t>
    </r>
    <r>
      <rPr>
        <sz val="12"/>
        <color rgb="FF000000"/>
        <rFont val="Times New Roman"/>
        <charset val="134"/>
      </rPr>
      <t xml:space="preserve"> committee members with rules and regulations and terms of references. </t>
    </r>
  </si>
  <si>
    <t>SMCS.26.c</t>
  </si>
  <si>
    <r>
      <rPr>
        <sz val="14"/>
        <color rgb="FF000000"/>
        <rFont val="Times New Roman"/>
        <charset val="134"/>
      </rPr>
      <t xml:space="preserve">There are clear guidelines describing the process of </t>
    </r>
    <r>
      <rPr>
        <b/>
        <sz val="12"/>
        <color theme="1"/>
        <rFont val="Times New Roman"/>
        <charset val="134"/>
      </rPr>
      <t>PoCT</t>
    </r>
    <r>
      <rPr>
        <sz val="12"/>
        <color rgb="FF000000"/>
        <rFont val="Times New Roman"/>
        <charset val="134"/>
      </rPr>
      <t xml:space="preserve"> . </t>
    </r>
  </si>
  <si>
    <t>SMCS.26.d</t>
  </si>
  <si>
    <t xml:space="preserve">The staff are trained and assessed for competency for testing </t>
  </si>
  <si>
    <t>SMCS.26.e</t>
  </si>
  <si>
    <r>
      <rPr>
        <sz val="14"/>
        <color rgb="FF000000"/>
        <rFont val="Times New Roman"/>
        <charset val="134"/>
      </rPr>
      <t xml:space="preserve">The laboratory has assigned personnel as </t>
    </r>
    <r>
      <rPr>
        <b/>
        <sz val="12"/>
        <color theme="1"/>
        <rFont val="Times New Roman"/>
        <charset val="134"/>
      </rPr>
      <t>PoCT</t>
    </r>
    <r>
      <rPr>
        <sz val="12"/>
        <color rgb="FF000000"/>
        <rFont val="Times New Roman"/>
        <charset val="134"/>
      </rPr>
      <t xml:space="preserve"> coordinator.  </t>
    </r>
  </si>
  <si>
    <t>SMCS.26.f</t>
  </si>
  <si>
    <r>
      <rPr>
        <sz val="14"/>
        <color rgb="FF000000"/>
        <rFont val="Times New Roman"/>
        <charset val="134"/>
      </rPr>
      <t>There is regular audit to ensure, quality control testing is performed and recorded for</t>
    </r>
    <r>
      <rPr>
        <b/>
        <sz val="12"/>
        <color theme="1"/>
        <rFont val="Times New Roman"/>
        <charset val="134"/>
      </rPr>
      <t xml:space="preserve"> PoCT</t>
    </r>
    <r>
      <rPr>
        <sz val="12"/>
        <color rgb="FF000000"/>
        <rFont val="Times New Roman"/>
        <charset val="134"/>
      </rPr>
      <t xml:space="preserve"> .</t>
    </r>
  </si>
  <si>
    <t>SMCS.26.g</t>
  </si>
  <si>
    <t>Patients’ results are interpreted by trained personnel, and all abnormal results are confirmed by the laboratory if recommended</t>
  </si>
  <si>
    <t xml:space="preserve">SMCS.27   </t>
  </si>
  <si>
    <t xml:space="preserve">The laboratory has a defined information and data management system. </t>
  </si>
  <si>
    <t>Total Measures: 6</t>
  </si>
  <si>
    <t>SMCS.27.a</t>
  </si>
  <si>
    <t>Laboratory has a defined system (manual/electronic) to identify and relate information to patients</t>
  </si>
  <si>
    <t>SMCS.27.b</t>
  </si>
  <si>
    <t>Laboratory has a procedure for information and data management.</t>
  </si>
  <si>
    <t>SMCS.27.c</t>
  </si>
  <si>
    <t>Laboratory information are protected from/against unauthorized access, tempering and loss.</t>
  </si>
  <si>
    <t>SMCS.27.d</t>
  </si>
  <si>
    <t>Laboratory has a contingency plan system failure/breakdown</t>
  </si>
  <si>
    <t>SMCS.27.e</t>
  </si>
  <si>
    <t>Laboratory has a system for sample tracking and data traceability.</t>
  </si>
  <si>
    <t>SMCS.27.f</t>
  </si>
  <si>
    <t>Laboratory ensures training of all staff in using data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</si>
</sst>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2"/>
      <color theme="1"/>
      <name val="Calibri"/>
      <charset val="134"/>
      <scheme val="minor"/>
    </font>
    <font>
      <b/>
      <sz val="16"/>
      <color rgb="FF000000"/>
      <name val="Times New Roman"/>
      <charset val="134"/>
    </font>
    <font>
      <b/>
      <sz val="18"/>
      <color rgb="FF000000"/>
      <name val="Times New Roman"/>
      <charset val="134"/>
    </font>
    <font>
      <sz val="12"/>
      <color rgb="FF000000"/>
      <name val="Calibri"/>
      <charset val="134"/>
      <scheme val="minor"/>
    </font>
    <font>
      <b/>
      <sz val="14"/>
      <color rgb="FF000000"/>
      <name val="Times New Roman"/>
      <charset val="134"/>
    </font>
    <font>
      <sz val="11"/>
      <color rgb="FF9C6500"/>
      <name val="Calibri"/>
      <charset val="134"/>
      <scheme val="minor"/>
    </font>
    <font>
      <b/>
      <sz val="18"/>
      <color rgb="FFC00000"/>
      <name val="Calibri"/>
      <charset val="134"/>
      <scheme val="minor"/>
    </font>
    <font>
      <b/>
      <sz val="16"/>
      <name val="Times New Roman"/>
      <charset val="134"/>
    </font>
    <font>
      <b/>
      <sz val="14"/>
      <name val="Times New Roman"/>
      <charset val="134"/>
    </font>
    <font>
      <b/>
      <u/>
      <sz val="16"/>
      <color theme="1"/>
      <name val="Times New Roman"/>
      <charset val="134"/>
    </font>
    <font>
      <b/>
      <sz val="18"/>
      <color theme="1"/>
      <name val="Times New Roman"/>
      <charset val="134"/>
    </font>
    <font>
      <b/>
      <sz val="14"/>
      <color theme="1"/>
      <name val="Times New Roman"/>
      <charset val="134"/>
    </font>
    <font>
      <b/>
      <sz val="16"/>
      <color theme="1"/>
      <name val="Times New Roman"/>
      <charset val="134"/>
    </font>
    <font>
      <b/>
      <sz val="12"/>
      <color theme="1"/>
      <name val="Calibri"/>
      <charset val="134"/>
      <scheme val="minor"/>
    </font>
    <font>
      <sz val="14"/>
      <color rgb="FF000000"/>
      <name val="Times New Roman"/>
      <charset val="134"/>
    </font>
    <font>
      <sz val="16"/>
      <color theme="1"/>
      <name val="Calibri"/>
      <charset val="134"/>
      <scheme val="minor"/>
    </font>
    <font>
      <sz val="18"/>
      <color theme="1"/>
      <name val="Times New Roman"/>
      <charset val="134"/>
    </font>
    <font>
      <sz val="16"/>
      <color rgb="FF000000"/>
      <name val="Times New Roman"/>
      <charset val="134"/>
    </font>
    <font>
      <b/>
      <sz val="12"/>
      <color rgb="FF0E101A"/>
      <name val="Times New Roman"/>
      <charset val="134"/>
    </font>
    <font>
      <sz val="12"/>
      <color theme="1"/>
      <name val="Times New Roman"/>
      <charset val="134"/>
    </font>
    <font>
      <b/>
      <sz val="12"/>
      <color theme="1"/>
      <name val="Times New Roman"/>
      <charset val="134"/>
    </font>
    <font>
      <sz val="12"/>
      <color rgb="FF000000"/>
      <name val="Times New Roman"/>
      <charset val="134"/>
    </font>
    <font>
      <sz val="14"/>
      <color theme="1"/>
      <name val="Calibri"/>
      <charset val="134"/>
      <scheme val="minor"/>
    </font>
  </fonts>
  <fills count="14">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9" tint="0.79995117038483843"/>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79995117038483843"/>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auto="1"/>
      </left>
      <right style="thin">
        <color auto="1"/>
      </right>
      <top style="thick">
        <color auto="1"/>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s>
  <cellStyleXfs count="2">
    <xf numFmtId="0" fontId="0" fillId="0" borderId="0"/>
    <xf numFmtId="0" fontId="5" fillId="5" borderId="0" applyNumberFormat="0" applyBorder="0" applyAlignment="0" applyProtection="0"/>
  </cellStyleXfs>
  <cellXfs count="6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3" fillId="4" borderId="4" xfId="0" applyFont="1" applyFill="1" applyBorder="1"/>
    <xf numFmtId="0" fontId="4" fillId="4" borderId="5" xfId="0" applyFont="1" applyFill="1" applyBorder="1" applyAlignment="1">
      <alignment horizontal="center" vertical="center"/>
    </xf>
    <xf numFmtId="0" fontId="6" fillId="5" borderId="6" xfId="1" applyFont="1" applyBorder="1" applyAlignment="1">
      <alignment horizontal="center" vertical="center"/>
    </xf>
    <xf numFmtId="0" fontId="6" fillId="5" borderId="5" xfId="1" applyFont="1" applyBorder="1" applyAlignment="1">
      <alignment horizontal="center" vertical="center"/>
    </xf>
    <xf numFmtId="0" fontId="6" fillId="5" borderId="7" xfId="1" applyFont="1" applyBorder="1" applyAlignment="1">
      <alignment horizontal="center" vertical="center"/>
    </xf>
    <xf numFmtId="0" fontId="7" fillId="6" borderId="8" xfId="0" applyFont="1" applyFill="1" applyBorder="1" applyAlignment="1">
      <alignment horizontal="center" vertical="center"/>
    </xf>
    <xf numFmtId="0" fontId="8" fillId="6" borderId="8" xfId="0" applyFont="1" applyFill="1" applyBorder="1" applyAlignment="1">
      <alignment vertical="center"/>
    </xf>
    <xf numFmtId="0" fontId="4" fillId="7" borderId="8" xfId="0" applyFont="1" applyFill="1" applyBorder="1" applyAlignment="1">
      <alignment horizontal="center" vertical="center"/>
    </xf>
    <xf numFmtId="0" fontId="9" fillId="8" borderId="9" xfId="0" applyFont="1" applyFill="1" applyBorder="1" applyAlignment="1">
      <alignment horizontal="center" vertical="top"/>
    </xf>
    <xf numFmtId="0" fontId="9" fillId="8" borderId="10" xfId="0" applyFont="1" applyFill="1" applyBorder="1" applyAlignment="1">
      <alignment horizontal="center" vertical="top"/>
    </xf>
    <xf numFmtId="0" fontId="9" fillId="8" borderId="11" xfId="0" applyFont="1" applyFill="1" applyBorder="1" applyAlignment="1">
      <alignment horizontal="center" vertical="top"/>
    </xf>
    <xf numFmtId="0" fontId="10" fillId="9" borderId="12" xfId="0" applyFont="1" applyFill="1" applyBorder="1" applyAlignment="1">
      <alignment vertical="center" wrapText="1"/>
    </xf>
    <xf numFmtId="0" fontId="11" fillId="9" borderId="8" xfId="0" applyFont="1" applyFill="1" applyBorder="1" applyAlignment="1">
      <alignment vertical="center" wrapText="1"/>
    </xf>
    <xf numFmtId="0" fontId="12" fillId="9" borderId="13" xfId="0" applyFont="1" applyFill="1" applyBorder="1" applyAlignment="1">
      <alignment horizontal="left" vertical="center"/>
    </xf>
    <xf numFmtId="0" fontId="13" fillId="0" borderId="13" xfId="0" applyFont="1" applyBorder="1" applyAlignment="1">
      <alignment horizontal="left" vertical="center"/>
    </xf>
    <xf numFmtId="0" fontId="12" fillId="9" borderId="13" xfId="0" applyFont="1" applyFill="1" applyBorder="1" applyAlignment="1">
      <alignment horizontal="left" vertical="center"/>
    </xf>
    <xf numFmtId="0" fontId="12" fillId="10" borderId="8" xfId="0" applyFont="1" applyFill="1" applyBorder="1" applyAlignment="1">
      <alignment horizontal="justify" vertical="center" wrapText="1"/>
    </xf>
    <xf numFmtId="0" fontId="14" fillId="0" borderId="8" xfId="0" applyFont="1" applyBorder="1" applyAlignment="1">
      <alignment vertical="center" wrapText="1"/>
    </xf>
    <xf numFmtId="0" fontId="15" fillId="0" borderId="8" xfId="0" applyFont="1" applyBorder="1" applyAlignment="1" applyProtection="1">
      <alignment horizontal="left"/>
      <protection locked="0"/>
    </xf>
    <xf numFmtId="0" fontId="15" fillId="11" borderId="8" xfId="0" applyFont="1" applyFill="1" applyBorder="1" applyAlignment="1" applyProtection="1">
      <alignment horizontal="left"/>
      <protection locked="0"/>
    </xf>
    <xf numFmtId="0" fontId="10" fillId="9" borderId="12" xfId="0" applyFont="1" applyFill="1" applyBorder="1" applyAlignment="1">
      <alignment horizontal="justify" vertical="center" wrapText="1"/>
    </xf>
    <xf numFmtId="0" fontId="11" fillId="9" borderId="12" xfId="0" applyFont="1" applyFill="1" applyBorder="1" applyAlignment="1">
      <alignment vertical="center" wrapText="1"/>
    </xf>
    <xf numFmtId="0" fontId="1" fillId="10" borderId="8" xfId="0" applyFont="1" applyFill="1" applyBorder="1" applyAlignment="1">
      <alignment horizontal="justify" vertical="center" wrapText="1"/>
    </xf>
    <xf numFmtId="0" fontId="15" fillId="0" borderId="8" xfId="0" applyFont="1" applyBorder="1" applyProtection="1">
      <protection locked="0"/>
    </xf>
    <xf numFmtId="0" fontId="4" fillId="9" borderId="12" xfId="0" applyFont="1" applyFill="1" applyBorder="1" applyAlignment="1">
      <alignment vertical="center" wrapText="1"/>
    </xf>
    <xf numFmtId="0" fontId="1" fillId="10" borderId="8" xfId="0" applyFont="1" applyFill="1" applyBorder="1" applyAlignment="1">
      <alignment vertical="center" wrapText="1"/>
    </xf>
    <xf numFmtId="0" fontId="14" fillId="0" borderId="8" xfId="0" applyFont="1" applyBorder="1" applyAlignment="1">
      <alignment horizontal="justify" vertical="center" wrapText="1"/>
    </xf>
    <xf numFmtId="0" fontId="12" fillId="10" borderId="8" xfId="0" applyFont="1" applyFill="1" applyBorder="1" applyAlignment="1">
      <alignment vertical="center" wrapText="1"/>
    </xf>
    <xf numFmtId="0" fontId="11" fillId="9" borderId="12" xfId="0" applyFont="1" applyFill="1" applyBorder="1" applyAlignment="1">
      <alignment horizontal="justify" vertical="center" wrapText="1"/>
    </xf>
    <xf numFmtId="0" fontId="1" fillId="10" borderId="8" xfId="0" applyFont="1" applyFill="1" applyBorder="1" applyAlignment="1">
      <alignment horizontal="justify" vertical="center" wrapText="1"/>
    </xf>
    <xf numFmtId="0" fontId="14" fillId="12" borderId="8" xfId="0" applyFont="1" applyFill="1" applyBorder="1" applyAlignment="1">
      <alignment horizontal="justify" vertical="center" wrapText="1"/>
    </xf>
    <xf numFmtId="0" fontId="15" fillId="12" borderId="9" xfId="0" applyFont="1" applyFill="1" applyBorder="1" applyAlignment="1">
      <alignment horizontal="center"/>
    </xf>
    <xf numFmtId="0" fontId="15" fillId="12" borderId="10" xfId="0" applyFont="1" applyFill="1" applyBorder="1" applyAlignment="1">
      <alignment horizontal="center"/>
    </xf>
    <xf numFmtId="0" fontId="15" fillId="12" borderId="11" xfId="0" applyFont="1" applyFill="1" applyBorder="1" applyAlignment="1">
      <alignment horizontal="center"/>
    </xf>
    <xf numFmtId="0" fontId="4" fillId="13" borderId="8" xfId="0" applyFont="1" applyFill="1" applyBorder="1" applyAlignment="1">
      <alignment horizontal="justify" vertical="center" wrapText="1"/>
    </xf>
    <xf numFmtId="0" fontId="15" fillId="13" borderId="9" xfId="0" applyFont="1" applyFill="1" applyBorder="1" applyAlignment="1">
      <alignment horizontal="center"/>
    </xf>
    <xf numFmtId="0" fontId="15" fillId="13" borderId="10" xfId="0" applyFont="1" applyFill="1" applyBorder="1" applyAlignment="1">
      <alignment horizontal="center"/>
    </xf>
    <xf numFmtId="0" fontId="15" fillId="13" borderId="11" xfId="0" applyFont="1" applyFill="1" applyBorder="1" applyAlignment="1">
      <alignment horizontal="center"/>
    </xf>
    <xf numFmtId="0" fontId="4" fillId="0" borderId="8" xfId="0" applyFont="1" applyBorder="1" applyAlignment="1">
      <alignment horizontal="justify" vertical="center" wrapText="1"/>
    </xf>
    <xf numFmtId="0" fontId="14" fillId="12" borderId="8" xfId="0" applyFont="1" applyFill="1" applyBorder="1" applyAlignment="1">
      <alignment vertical="center" wrapText="1"/>
    </xf>
    <xf numFmtId="0" fontId="4" fillId="0" borderId="8" xfId="0" applyFont="1" applyBorder="1" applyAlignment="1">
      <alignment vertical="center" wrapText="1"/>
    </xf>
    <xf numFmtId="0" fontId="15" fillId="0" borderId="12" xfId="0" applyFont="1" applyBorder="1" applyProtection="1">
      <protection locked="0"/>
    </xf>
    <xf numFmtId="0" fontId="15" fillId="0" borderId="12" xfId="0" applyFont="1" applyBorder="1" applyAlignment="1" applyProtection="1">
      <alignment horizontal="center"/>
      <protection locked="0"/>
    </xf>
    <xf numFmtId="0" fontId="1" fillId="10" borderId="9" xfId="0" applyFont="1" applyFill="1" applyBorder="1" applyAlignment="1">
      <alignment horizontal="justify" vertical="center" wrapText="1"/>
    </xf>
    <xf numFmtId="0" fontId="17" fillId="0" borderId="9" xfId="0" applyFont="1" applyBorder="1" applyAlignment="1">
      <alignment horizontal="justify" vertical="center" wrapText="1"/>
    </xf>
    <xf numFmtId="0" fontId="14" fillId="0" borderId="12" xfId="0" applyFont="1" applyBorder="1" applyAlignment="1">
      <alignment horizontal="left" vertical="center" wrapText="1"/>
    </xf>
    <xf numFmtId="0" fontId="11" fillId="9" borderId="14" xfId="0" applyFont="1" applyFill="1" applyBorder="1" applyAlignment="1">
      <alignment horizontal="justify" vertical="center" wrapText="1"/>
    </xf>
    <xf numFmtId="0" fontId="15" fillId="0" borderId="15" xfId="0" applyFont="1" applyBorder="1" applyProtection="1">
      <protection locked="0"/>
    </xf>
    <xf numFmtId="0" fontId="8" fillId="9" borderId="12" xfId="0" applyFont="1" applyFill="1" applyBorder="1" applyAlignment="1">
      <alignment vertical="center" wrapText="1"/>
    </xf>
    <xf numFmtId="0" fontId="22" fillId="0" borderId="0" xfId="0"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F134"/>
  <sheetViews>
    <sheetView tabSelected="1" view="pageBreakPreview" topLeftCell="A85" zoomScale="98" zoomScaleNormal="100" workbookViewId="0">
      <selection activeCell="C78" sqref="C78"/>
    </sheetView>
  </sheetViews>
  <sheetFormatPr defaultColWidth="11" defaultRowHeight="18"/>
  <cols>
    <col min="1" max="1" width="17" customWidth="1"/>
    <col min="2" max="2" width="87.5" style="59" customWidth="1"/>
    <col min="3" max="3" width="34.09765625" customWidth="1"/>
    <col min="4" max="5" width="70.59765625" customWidth="1"/>
  </cols>
  <sheetData>
    <row r="1" spans="1:32" ht="39" customHeight="1">
      <c r="A1" s="1" t="s">
        <v>0</v>
      </c>
      <c r="B1" s="2"/>
      <c r="C1" s="2"/>
      <c r="D1" s="2"/>
      <c r="E1" s="3"/>
    </row>
    <row r="2" spans="1:32" ht="36" customHeight="1">
      <c r="A2" s="4" t="s">
        <v>1</v>
      </c>
      <c r="B2" s="5"/>
      <c r="C2" s="5"/>
      <c r="D2" s="5"/>
      <c r="E2" s="6"/>
    </row>
    <row r="3" spans="1:32" ht="32.1" customHeight="1">
      <c r="A3" s="7" t="s">
        <v>2</v>
      </c>
      <c r="B3" s="8"/>
      <c r="C3" s="8"/>
      <c r="D3" s="8"/>
      <c r="E3" s="9"/>
    </row>
    <row r="4" spans="1:32" ht="24" thickBot="1">
      <c r="A4" s="10"/>
      <c r="B4" s="11"/>
      <c r="C4" s="12" t="str">
        <f>"Total Score: "&amp;ROUND((AA4/AB4)*100,2)&amp;"%"</f>
        <v>Total Score: 0%</v>
      </c>
      <c r="D4" s="13"/>
      <c r="E4" s="14"/>
      <c r="AA4">
        <f>SUM(AA7:AA132)+SUM(AB7:AB132)*0.5</f>
        <v>0</v>
      </c>
      <c r="AB4">
        <f>COUNT(AA7:AA132)-SUM(AB7:AD132)</f>
        <v>107</v>
      </c>
    </row>
    <row r="5" spans="1:32" ht="41.25" customHeight="1" thickTop="1" thickBot="1">
      <c r="A5" s="15" t="s">
        <v>3</v>
      </c>
      <c r="B5" s="16" t="s">
        <v>4</v>
      </c>
      <c r="C5" s="17" t="s">
        <v>5</v>
      </c>
      <c r="D5" s="17" t="s">
        <v>6</v>
      </c>
      <c r="E5" s="17" t="s">
        <v>7</v>
      </c>
    </row>
    <row r="6" spans="1:32" ht="36.75" customHeight="1" thickTop="1" thickBot="1">
      <c r="A6" s="18" t="s">
        <v>8</v>
      </c>
      <c r="B6" s="19"/>
      <c r="C6" s="19"/>
      <c r="D6" s="19"/>
      <c r="E6" s="20"/>
    </row>
    <row r="7" spans="1:32" ht="63.75" customHeight="1" thickTop="1" thickBot="1">
      <c r="A7" s="21" t="s">
        <v>9</v>
      </c>
      <c r="B7" s="22" t="s">
        <v>10</v>
      </c>
      <c r="C7" s="23" t="s">
        <v>11</v>
      </c>
      <c r="D7" s="24"/>
      <c r="E7" s="25" t="str">
        <f>"Quotation: "&amp;ROUND((AE7/AF7)*100,2)&amp;"%"</f>
        <v>Quotation: 0%</v>
      </c>
      <c r="AE7">
        <f>SUM(AA8:AA11)+SUM(AB8:AB11)*0.5</f>
        <v>0</v>
      </c>
      <c r="AF7">
        <f>COUNT(AA8:AA11)-SUM(AD8:AD11)</f>
        <v>4</v>
      </c>
    </row>
    <row r="8" spans="1:32" ht="37.200000000000003" thickTop="1" thickBot="1">
      <c r="A8" s="26" t="s">
        <v>12</v>
      </c>
      <c r="B8" s="27" t="s">
        <v>13</v>
      </c>
      <c r="C8" s="28"/>
      <c r="D8" s="28"/>
      <c r="E8" s="28"/>
      <c r="AA8">
        <f>IF(C8="Met",1,0)</f>
        <v>0</v>
      </c>
      <c r="AB8">
        <f>IF(C8="Partially Met",1,0)</f>
        <v>0</v>
      </c>
      <c r="AC8">
        <f>IF(C8="UnMet",1,0)</f>
        <v>0</v>
      </c>
      <c r="AD8">
        <f>IF(C8="Not Applicable",1,0)</f>
        <v>0</v>
      </c>
    </row>
    <row r="9" spans="1:32" ht="55.2" thickTop="1" thickBot="1">
      <c r="A9" s="26" t="s">
        <v>14</v>
      </c>
      <c r="B9" s="27" t="s">
        <v>15</v>
      </c>
      <c r="C9" s="29"/>
      <c r="D9" s="28"/>
      <c r="E9" s="28"/>
      <c r="AA9">
        <f>IF(C9="Met",1,0)</f>
        <v>0</v>
      </c>
      <c r="AB9">
        <f>IF(C9="Partially Met",1,0)</f>
        <v>0</v>
      </c>
      <c r="AC9">
        <f>IF(C9="UnMet",1,0)</f>
        <v>0</v>
      </c>
      <c r="AD9">
        <f>IF(C9="Not Applicable",1,0)</f>
        <v>0</v>
      </c>
    </row>
    <row r="10" spans="1:32" ht="37.200000000000003" thickTop="1" thickBot="1">
      <c r="A10" s="26" t="s">
        <v>16</v>
      </c>
      <c r="B10" s="27" t="s">
        <v>17</v>
      </c>
      <c r="C10" s="29"/>
      <c r="D10" s="28"/>
      <c r="E10" s="28"/>
      <c r="AA10">
        <f>IF(C10="Met",1,0)</f>
        <v>0</v>
      </c>
      <c r="AB10">
        <f>IF(C10="Partially Met",1,0)</f>
        <v>0</v>
      </c>
      <c r="AC10">
        <f>IF(C10="UnMet",1,0)</f>
        <v>0</v>
      </c>
      <c r="AD10">
        <f>IF(C10="Not Applicable",1,0)</f>
        <v>0</v>
      </c>
    </row>
    <row r="11" spans="1:32" ht="37.200000000000003" thickTop="1" thickBot="1">
      <c r="A11" s="26" t="s">
        <v>18</v>
      </c>
      <c r="B11" s="27" t="s">
        <v>19</v>
      </c>
      <c r="C11" s="29"/>
      <c r="D11" s="28"/>
      <c r="E11" s="28"/>
      <c r="AA11">
        <f>IF(C11="Met",1,0)</f>
        <v>0</v>
      </c>
      <c r="AB11">
        <f>IF(C11="Partially Met",1,0)</f>
        <v>0</v>
      </c>
      <c r="AC11">
        <f>IF(C11="UnMet",1,0)</f>
        <v>0</v>
      </c>
      <c r="AD11">
        <f>IF(C11="Not Applicable",1,0)</f>
        <v>0</v>
      </c>
    </row>
    <row r="12" spans="1:32" ht="63.75" customHeight="1" thickTop="1" thickBot="1">
      <c r="A12" s="30" t="s">
        <v>20</v>
      </c>
      <c r="B12" s="31" t="s">
        <v>21</v>
      </c>
      <c r="C12" s="23" t="s">
        <v>22</v>
      </c>
      <c r="D12" s="24"/>
      <c r="E12" s="25" t="str">
        <f>"Quotation: "&amp;ROUND((AE12/AF12)*100,2)&amp;"%"</f>
        <v>Quotation: 0%</v>
      </c>
      <c r="AE12">
        <f>SUM(AA13:AA19)+SUM(AB13:AB19)*0.5</f>
        <v>0</v>
      </c>
      <c r="AF12">
        <f>COUNT(AA13:AA19)-SUM(AD13:AD19)</f>
        <v>7</v>
      </c>
    </row>
    <row r="13" spans="1:32" ht="37.200000000000003" thickTop="1" thickBot="1">
      <c r="A13" s="26" t="s">
        <v>23</v>
      </c>
      <c r="B13" s="27" t="s">
        <v>24</v>
      </c>
      <c r="C13" s="28"/>
      <c r="D13" s="28"/>
      <c r="E13" s="28"/>
      <c r="AA13">
        <f t="shared" ref="AA13:AA19" si="0">IF(C13="Met",1,0)</f>
        <v>0</v>
      </c>
      <c r="AB13">
        <f t="shared" ref="AB13:AB19" si="1">IF(C13="Partially Met",1,0)</f>
        <v>0</v>
      </c>
      <c r="AC13">
        <f t="shared" ref="AC13:AC19" si="2">IF(C13="UnMet",1,0)</f>
        <v>0</v>
      </c>
      <c r="AD13">
        <f t="shared" ref="AD13:AD19" si="3">IF(C13="Not Applicable",1,0)</f>
        <v>0</v>
      </c>
    </row>
    <row r="14" spans="1:32" ht="55.2" thickTop="1" thickBot="1">
      <c r="A14" s="32" t="s">
        <v>25</v>
      </c>
      <c r="B14" s="27" t="s">
        <v>26</v>
      </c>
      <c r="C14" s="28"/>
      <c r="D14" s="28"/>
      <c r="E14" s="28"/>
      <c r="AA14">
        <f t="shared" si="0"/>
        <v>0</v>
      </c>
      <c r="AB14">
        <f t="shared" si="1"/>
        <v>0</v>
      </c>
      <c r="AC14">
        <f t="shared" si="2"/>
        <v>0</v>
      </c>
      <c r="AD14">
        <f t="shared" si="3"/>
        <v>0</v>
      </c>
    </row>
    <row r="15" spans="1:32" ht="35.1" customHeight="1" thickTop="1" thickBot="1">
      <c r="A15" s="32" t="s">
        <v>27</v>
      </c>
      <c r="B15" s="27" t="s">
        <v>28</v>
      </c>
      <c r="C15" s="33"/>
      <c r="D15" s="33"/>
      <c r="E15" s="33"/>
      <c r="AA15">
        <f t="shared" si="0"/>
        <v>0</v>
      </c>
      <c r="AB15">
        <f t="shared" si="1"/>
        <v>0</v>
      </c>
      <c r="AC15">
        <f t="shared" si="2"/>
        <v>0</v>
      </c>
      <c r="AD15">
        <f t="shared" si="3"/>
        <v>0</v>
      </c>
    </row>
    <row r="16" spans="1:32" ht="35.25" customHeight="1" thickTop="1" thickBot="1">
      <c r="A16" s="32" t="s">
        <v>29</v>
      </c>
      <c r="B16" s="27" t="s">
        <v>30</v>
      </c>
      <c r="C16" s="33"/>
      <c r="D16" s="33"/>
      <c r="E16" s="33"/>
      <c r="AA16">
        <f t="shared" si="0"/>
        <v>0</v>
      </c>
      <c r="AB16">
        <f t="shared" si="1"/>
        <v>0</v>
      </c>
      <c r="AC16">
        <f t="shared" si="2"/>
        <v>0</v>
      </c>
      <c r="AD16">
        <f t="shared" si="3"/>
        <v>0</v>
      </c>
    </row>
    <row r="17" spans="1:32" ht="48" customHeight="1" thickTop="1" thickBot="1">
      <c r="A17" s="32" t="s">
        <v>31</v>
      </c>
      <c r="B17" s="27" t="s">
        <v>32</v>
      </c>
      <c r="C17" s="33"/>
      <c r="D17" s="33"/>
      <c r="E17" s="33"/>
      <c r="AA17">
        <f t="shared" si="0"/>
        <v>0</v>
      </c>
      <c r="AB17">
        <f t="shared" si="1"/>
        <v>0</v>
      </c>
      <c r="AC17">
        <f t="shared" si="2"/>
        <v>0</v>
      </c>
      <c r="AD17">
        <f t="shared" si="3"/>
        <v>0</v>
      </c>
    </row>
    <row r="18" spans="1:32" ht="42.9" customHeight="1" thickTop="1" thickBot="1">
      <c r="A18" s="32" t="s">
        <v>33</v>
      </c>
      <c r="B18" s="27" t="s">
        <v>34</v>
      </c>
      <c r="C18" s="33"/>
      <c r="D18" s="33"/>
      <c r="E18" s="33"/>
      <c r="AA18">
        <f t="shared" si="0"/>
        <v>0</v>
      </c>
      <c r="AB18">
        <f t="shared" si="1"/>
        <v>0</v>
      </c>
      <c r="AC18">
        <f t="shared" si="2"/>
        <v>0</v>
      </c>
      <c r="AD18">
        <f t="shared" si="3"/>
        <v>0</v>
      </c>
    </row>
    <row r="19" spans="1:32" ht="53.1" customHeight="1" thickTop="1" thickBot="1">
      <c r="A19" s="32" t="s">
        <v>35</v>
      </c>
      <c r="B19" s="27" t="s">
        <v>36</v>
      </c>
      <c r="C19" s="33"/>
      <c r="D19" s="33"/>
      <c r="E19" s="33"/>
      <c r="AA19">
        <f t="shared" si="0"/>
        <v>0</v>
      </c>
      <c r="AB19">
        <f t="shared" si="1"/>
        <v>0</v>
      </c>
      <c r="AC19">
        <f t="shared" si="2"/>
        <v>0</v>
      </c>
      <c r="AD19">
        <f t="shared" si="3"/>
        <v>0</v>
      </c>
    </row>
    <row r="20" spans="1:32" ht="75.75" customHeight="1" thickTop="1" thickBot="1">
      <c r="A20" s="30" t="s">
        <v>37</v>
      </c>
      <c r="B20" s="34" t="s">
        <v>38</v>
      </c>
      <c r="C20" s="23" t="s">
        <v>22</v>
      </c>
      <c r="D20" s="24"/>
      <c r="E20" s="25" t="str">
        <f>"Quotation: "&amp;ROUND((AE20/AF20)*100,2)&amp;"%"</f>
        <v>Quotation: 0%</v>
      </c>
      <c r="AE20">
        <f>SUM(AA21:AA27)+SUM(AB21:AB27)*0.5</f>
        <v>0</v>
      </c>
      <c r="AF20">
        <f>COUNT(AA21:AA27)-SUM(AD21:AD27)</f>
        <v>7</v>
      </c>
    </row>
    <row r="21" spans="1:32" ht="50.1" customHeight="1" thickTop="1" thickBot="1">
      <c r="A21" s="35" t="s">
        <v>39</v>
      </c>
      <c r="B21" s="36" t="s">
        <v>40</v>
      </c>
      <c r="C21" s="28"/>
      <c r="D21" s="28"/>
      <c r="E21" s="28"/>
      <c r="AA21">
        <f t="shared" ref="AA21:AA27" si="4">IF(C21="Met",1,0)</f>
        <v>0</v>
      </c>
      <c r="AB21">
        <f t="shared" ref="AB21:AB27" si="5">IF(C21="Partially Met",1,0)</f>
        <v>0</v>
      </c>
      <c r="AC21">
        <f t="shared" ref="AC21:AC27" si="6">IF(C21="UnMet",1,0)</f>
        <v>0</v>
      </c>
      <c r="AD21">
        <f t="shared" ref="AD21:AD27" si="7">IF(C21="Not Applicable",1,0)</f>
        <v>0</v>
      </c>
    </row>
    <row r="22" spans="1:32" ht="47.1" customHeight="1" thickTop="1" thickBot="1">
      <c r="A22" s="32" t="s">
        <v>41</v>
      </c>
      <c r="B22" s="36" t="s">
        <v>42</v>
      </c>
      <c r="C22" s="28"/>
      <c r="D22" s="28"/>
      <c r="E22" s="28"/>
      <c r="AA22">
        <f t="shared" si="4"/>
        <v>0</v>
      </c>
      <c r="AB22">
        <f t="shared" si="5"/>
        <v>0</v>
      </c>
      <c r="AC22">
        <f t="shared" si="6"/>
        <v>0</v>
      </c>
      <c r="AD22">
        <f t="shared" si="7"/>
        <v>0</v>
      </c>
    </row>
    <row r="23" spans="1:32" ht="51" customHeight="1" thickTop="1" thickBot="1">
      <c r="A23" s="32" t="s">
        <v>43</v>
      </c>
      <c r="B23" s="36" t="s">
        <v>44</v>
      </c>
      <c r="C23" s="28"/>
      <c r="D23" s="28"/>
      <c r="E23" s="28"/>
      <c r="AA23">
        <f t="shared" si="4"/>
        <v>0</v>
      </c>
      <c r="AB23">
        <f t="shared" si="5"/>
        <v>0</v>
      </c>
      <c r="AC23">
        <f t="shared" si="6"/>
        <v>0</v>
      </c>
      <c r="AD23">
        <f t="shared" si="7"/>
        <v>0</v>
      </c>
    </row>
    <row r="24" spans="1:32" ht="33" customHeight="1" thickTop="1" thickBot="1">
      <c r="A24" s="37" t="s">
        <v>45</v>
      </c>
      <c r="B24" s="36" t="s">
        <v>46</v>
      </c>
      <c r="C24" s="28"/>
      <c r="D24" s="28"/>
      <c r="E24" s="28"/>
      <c r="AA24">
        <f t="shared" si="4"/>
        <v>0</v>
      </c>
      <c r="AB24">
        <f t="shared" si="5"/>
        <v>0</v>
      </c>
      <c r="AC24">
        <f t="shared" si="6"/>
        <v>0</v>
      </c>
      <c r="AD24">
        <f t="shared" si="7"/>
        <v>0</v>
      </c>
    </row>
    <row r="25" spans="1:32" ht="33" customHeight="1" thickTop="1" thickBot="1">
      <c r="A25" s="26" t="s">
        <v>47</v>
      </c>
      <c r="B25" s="36" t="s">
        <v>48</v>
      </c>
      <c r="C25" s="28"/>
      <c r="D25" s="28"/>
      <c r="E25" s="28"/>
      <c r="AA25">
        <f t="shared" si="4"/>
        <v>0</v>
      </c>
      <c r="AB25">
        <f t="shared" si="5"/>
        <v>0</v>
      </c>
      <c r="AC25">
        <f t="shared" si="6"/>
        <v>0</v>
      </c>
      <c r="AD25">
        <f t="shared" si="7"/>
        <v>0</v>
      </c>
    </row>
    <row r="26" spans="1:32" ht="37.200000000000003" thickTop="1" thickBot="1">
      <c r="A26" s="26" t="s">
        <v>49</v>
      </c>
      <c r="B26" s="36" t="s">
        <v>50</v>
      </c>
      <c r="C26" s="28"/>
      <c r="D26" s="28"/>
      <c r="E26" s="28"/>
      <c r="AA26">
        <f t="shared" si="4"/>
        <v>0</v>
      </c>
      <c r="AB26">
        <f t="shared" si="5"/>
        <v>0</v>
      </c>
      <c r="AC26">
        <f t="shared" si="6"/>
        <v>0</v>
      </c>
      <c r="AD26">
        <f t="shared" si="7"/>
        <v>0</v>
      </c>
    </row>
    <row r="27" spans="1:32" ht="42" customHeight="1" thickTop="1" thickBot="1">
      <c r="A27" s="26" t="s">
        <v>51</v>
      </c>
      <c r="B27" s="36" t="s">
        <v>52</v>
      </c>
      <c r="C27" s="28"/>
      <c r="D27" s="28"/>
      <c r="E27" s="28"/>
      <c r="AA27">
        <f t="shared" si="4"/>
        <v>0</v>
      </c>
      <c r="AB27">
        <f t="shared" si="5"/>
        <v>0</v>
      </c>
      <c r="AC27">
        <f t="shared" si="6"/>
        <v>0</v>
      </c>
      <c r="AD27">
        <f t="shared" si="7"/>
        <v>0</v>
      </c>
    </row>
    <row r="28" spans="1:32" ht="63.75" customHeight="1" thickTop="1" thickBot="1">
      <c r="A28" s="30" t="s">
        <v>53</v>
      </c>
      <c r="B28" s="38" t="s">
        <v>54</v>
      </c>
      <c r="C28" s="23" t="s">
        <v>55</v>
      </c>
      <c r="D28" s="24"/>
      <c r="E28" s="25" t="str">
        <f>"Quotation: "&amp;ROUND((AE28/AF28)*100,2)&amp;"%"</f>
        <v>Quotation: 0%</v>
      </c>
      <c r="AE28">
        <f>SUM(AA29:AA62)+SUM(AB29:AB62)*0.5</f>
        <v>0</v>
      </c>
      <c r="AF28">
        <f>COUNT(AA29:AA62)-SUM(AD29:AD62)</f>
        <v>28</v>
      </c>
    </row>
    <row r="29" spans="1:32" ht="55.2" thickTop="1" thickBot="1">
      <c r="A29" s="39" t="s">
        <v>56</v>
      </c>
      <c r="B29" s="40" t="s">
        <v>57</v>
      </c>
      <c r="C29" s="41"/>
      <c r="D29" s="42"/>
      <c r="E29" s="43"/>
    </row>
    <row r="30" spans="1:32" ht="26.1" customHeight="1" thickTop="1" thickBot="1">
      <c r="A30" s="39"/>
      <c r="B30" s="44" t="s">
        <v>58</v>
      </c>
      <c r="C30" s="45"/>
      <c r="D30" s="46"/>
      <c r="E30" s="47"/>
    </row>
    <row r="31" spans="1:32" ht="21" customHeight="1" thickTop="1" thickBot="1">
      <c r="A31" s="39"/>
      <c r="B31" s="36" t="s">
        <v>59</v>
      </c>
      <c r="C31" s="33"/>
      <c r="D31" s="33"/>
      <c r="E31" s="33"/>
      <c r="AA31">
        <f t="shared" ref="AA31:AA36" si="8">IF(C31="Met",1,0)</f>
        <v>0</v>
      </c>
      <c r="AB31">
        <f t="shared" ref="AB31:AB36" si="9">IF(C31="Partially Met",1,0)</f>
        <v>0</v>
      </c>
      <c r="AC31">
        <f t="shared" ref="AC31:AC36" si="10">IF(C31="UnMet",1,0)</f>
        <v>0</v>
      </c>
      <c r="AD31">
        <f t="shared" ref="AD31:AD36" si="11">IF(C31="Not Applicable",1,0)</f>
        <v>0</v>
      </c>
    </row>
    <row r="32" spans="1:32" ht="22.2" thickTop="1" thickBot="1">
      <c r="A32" s="39"/>
      <c r="B32" s="36" t="s">
        <v>60</v>
      </c>
      <c r="C32" s="33"/>
      <c r="D32" s="33"/>
      <c r="E32" s="33"/>
      <c r="AA32">
        <f t="shared" si="8"/>
        <v>0</v>
      </c>
      <c r="AB32">
        <f t="shared" si="9"/>
        <v>0</v>
      </c>
      <c r="AC32">
        <f t="shared" si="10"/>
        <v>0</v>
      </c>
      <c r="AD32">
        <f t="shared" si="11"/>
        <v>0</v>
      </c>
    </row>
    <row r="33" spans="1:30" ht="22.2" thickTop="1" thickBot="1">
      <c r="A33" s="39"/>
      <c r="B33" s="36" t="s">
        <v>61</v>
      </c>
      <c r="C33" s="33"/>
      <c r="D33" s="33"/>
      <c r="E33" s="33"/>
      <c r="AA33">
        <f t="shared" si="8"/>
        <v>0</v>
      </c>
      <c r="AB33">
        <f t="shared" si="9"/>
        <v>0</v>
      </c>
      <c r="AC33">
        <f t="shared" si="10"/>
        <v>0</v>
      </c>
      <c r="AD33">
        <f t="shared" si="11"/>
        <v>0</v>
      </c>
    </row>
    <row r="34" spans="1:30" ht="22.2" thickTop="1" thickBot="1">
      <c r="A34" s="39"/>
      <c r="B34" s="36" t="s">
        <v>62</v>
      </c>
      <c r="C34" s="33"/>
      <c r="D34" s="33"/>
      <c r="E34" s="33"/>
      <c r="AA34">
        <f t="shared" si="8"/>
        <v>0</v>
      </c>
      <c r="AB34">
        <f t="shared" si="9"/>
        <v>0</v>
      </c>
      <c r="AC34">
        <f t="shared" si="10"/>
        <v>0</v>
      </c>
      <c r="AD34">
        <f t="shared" si="11"/>
        <v>0</v>
      </c>
    </row>
    <row r="35" spans="1:30" ht="22.2" thickTop="1" thickBot="1">
      <c r="A35" s="39"/>
      <c r="B35" s="36" t="s">
        <v>63</v>
      </c>
      <c r="C35" s="33"/>
      <c r="D35" s="33"/>
      <c r="E35" s="33"/>
      <c r="AA35">
        <f t="shared" si="8"/>
        <v>0</v>
      </c>
      <c r="AB35">
        <f t="shared" si="9"/>
        <v>0</v>
      </c>
      <c r="AC35">
        <f t="shared" si="10"/>
        <v>0</v>
      </c>
      <c r="AD35">
        <f t="shared" si="11"/>
        <v>0</v>
      </c>
    </row>
    <row r="36" spans="1:30" ht="22.2" thickTop="1" thickBot="1">
      <c r="A36" s="39"/>
      <c r="B36" s="36" t="s">
        <v>64</v>
      </c>
      <c r="C36" s="33"/>
      <c r="D36" s="33"/>
      <c r="E36" s="33"/>
      <c r="AA36">
        <f t="shared" si="8"/>
        <v>0</v>
      </c>
      <c r="AB36">
        <f t="shared" si="9"/>
        <v>0</v>
      </c>
      <c r="AC36">
        <f t="shared" si="10"/>
        <v>0</v>
      </c>
      <c r="AD36">
        <f t="shared" si="11"/>
        <v>0</v>
      </c>
    </row>
    <row r="37" spans="1:30" ht="22.2" thickTop="1" thickBot="1">
      <c r="A37" s="39"/>
      <c r="B37" s="44" t="s">
        <v>65</v>
      </c>
      <c r="C37" s="45"/>
      <c r="D37" s="46"/>
      <c r="E37" s="47"/>
    </row>
    <row r="38" spans="1:30" ht="21.9" customHeight="1" thickTop="1" thickBot="1">
      <c r="A38" s="39"/>
      <c r="B38" s="36" t="s">
        <v>66</v>
      </c>
      <c r="C38" s="33"/>
      <c r="D38" s="33"/>
      <c r="E38" s="33"/>
      <c r="AA38">
        <f>IF(C38="Met",1,0)</f>
        <v>0</v>
      </c>
      <c r="AB38">
        <f>IF(C38="Partially Met",1,0)</f>
        <v>0</v>
      </c>
      <c r="AC38">
        <f>IF(C38="UnMet",1,0)</f>
        <v>0</v>
      </c>
      <c r="AD38">
        <f>IF(C38="Not Applicable",1,0)</f>
        <v>0</v>
      </c>
    </row>
    <row r="39" spans="1:30" ht="20.100000000000001" customHeight="1" thickTop="1" thickBot="1">
      <c r="A39" s="39"/>
      <c r="B39" s="36" t="s">
        <v>67</v>
      </c>
      <c r="C39" s="33"/>
      <c r="D39" s="33"/>
      <c r="E39" s="33"/>
      <c r="AA39">
        <f>IF(C39="Met",1,0)</f>
        <v>0</v>
      </c>
      <c r="AB39">
        <f>IF(C39="Partially Met",1,0)</f>
        <v>0</v>
      </c>
      <c r="AC39">
        <f>IF(C39="UnMet",1,0)</f>
        <v>0</v>
      </c>
      <c r="AD39">
        <f>IF(C39="Not Applicable",1,0)</f>
        <v>0</v>
      </c>
    </row>
    <row r="40" spans="1:30" ht="23.1" customHeight="1" thickTop="1" thickBot="1">
      <c r="A40" s="39"/>
      <c r="B40" s="36" t="s">
        <v>68</v>
      </c>
      <c r="C40" s="33"/>
      <c r="D40" s="33"/>
      <c r="E40" s="33"/>
      <c r="AA40">
        <f>IF(C40="Met",1,0)</f>
        <v>0</v>
      </c>
      <c r="AB40">
        <f>IF(C40="Partially Met",1,0)</f>
        <v>0</v>
      </c>
      <c r="AC40">
        <f>IF(C40="UnMet",1,0)</f>
        <v>0</v>
      </c>
      <c r="AD40">
        <f>IF(C40="Not Applicable",1,0)</f>
        <v>0</v>
      </c>
    </row>
    <row r="41" spans="1:30" ht="22.2" thickTop="1" thickBot="1">
      <c r="A41" s="39"/>
      <c r="B41" s="44" t="s">
        <v>69</v>
      </c>
      <c r="C41" s="45"/>
      <c r="D41" s="46"/>
      <c r="E41" s="47"/>
    </row>
    <row r="42" spans="1:30" ht="18.899999999999999" customHeight="1" thickTop="1" thickBot="1">
      <c r="A42" s="39"/>
      <c r="B42" s="36" t="s">
        <v>70</v>
      </c>
      <c r="C42" s="33"/>
      <c r="D42" s="33"/>
      <c r="E42" s="33"/>
      <c r="AA42">
        <f>IF(C42="Met",1,0)</f>
        <v>0</v>
      </c>
      <c r="AB42">
        <f>IF(C42="Partially Met",1,0)</f>
        <v>0</v>
      </c>
      <c r="AC42">
        <f>IF(C42="UnMet",1,0)</f>
        <v>0</v>
      </c>
      <c r="AD42">
        <f>IF(C42="Not Applicable",1,0)</f>
        <v>0</v>
      </c>
    </row>
    <row r="43" spans="1:30" ht="18.899999999999999" customHeight="1" thickTop="1" thickBot="1">
      <c r="A43" s="39"/>
      <c r="B43" s="36" t="s">
        <v>71</v>
      </c>
      <c r="C43" s="33"/>
      <c r="D43" s="33"/>
      <c r="E43" s="33"/>
      <c r="AA43">
        <f>IF(C43="Met",1,0)</f>
        <v>0</v>
      </c>
      <c r="AB43">
        <f>IF(C43="Partially Met",1,0)</f>
        <v>0</v>
      </c>
      <c r="AC43">
        <f>IF(C43="UnMet",1,0)</f>
        <v>0</v>
      </c>
      <c r="AD43">
        <f>IF(C43="Not Applicable",1,0)</f>
        <v>0</v>
      </c>
    </row>
    <row r="44" spans="1:30" ht="18.899999999999999" customHeight="1" thickTop="1" thickBot="1">
      <c r="A44" s="39"/>
      <c r="B44" s="36" t="s">
        <v>72</v>
      </c>
      <c r="C44" s="33"/>
      <c r="D44" s="33"/>
      <c r="E44" s="33"/>
      <c r="AA44">
        <f>IF(C44="Met",1,0)</f>
        <v>0</v>
      </c>
      <c r="AB44">
        <f>IF(C44="Partially Met",1,0)</f>
        <v>0</v>
      </c>
      <c r="AC44">
        <f>IF(C44="UnMet",1,0)</f>
        <v>0</v>
      </c>
      <c r="AD44">
        <f>IF(C44="Not Applicable",1,0)</f>
        <v>0</v>
      </c>
    </row>
    <row r="45" spans="1:30" ht="18.899999999999999" customHeight="1" thickTop="1" thickBot="1">
      <c r="A45" s="39"/>
      <c r="B45" s="36" t="s">
        <v>73</v>
      </c>
      <c r="C45" s="33"/>
      <c r="D45" s="33"/>
      <c r="E45" s="33"/>
      <c r="AA45">
        <f>IF(C45="Met",1,0)</f>
        <v>0</v>
      </c>
      <c r="AB45">
        <f>IF(C45="Partially Met",1,0)</f>
        <v>0</v>
      </c>
      <c r="AC45">
        <f>IF(C45="UnMet",1,0)</f>
        <v>0</v>
      </c>
      <c r="AD45">
        <f>IF(C45="Not Applicable",1,0)</f>
        <v>0</v>
      </c>
    </row>
    <row r="46" spans="1:30" ht="22.2" thickTop="1" thickBot="1">
      <c r="A46" s="39"/>
      <c r="B46" s="44" t="s">
        <v>74</v>
      </c>
      <c r="C46" s="45"/>
      <c r="D46" s="46"/>
      <c r="E46" s="47"/>
    </row>
    <row r="47" spans="1:30" ht="22.2" thickTop="1" thickBot="1">
      <c r="A47" s="39"/>
      <c r="B47" s="36" t="s">
        <v>75</v>
      </c>
      <c r="C47" s="33"/>
      <c r="D47" s="33"/>
      <c r="E47" s="33"/>
      <c r="AA47">
        <f>IF(C47="Met",1,0)</f>
        <v>0</v>
      </c>
      <c r="AB47">
        <f>IF(C47="Partially Met",1,0)</f>
        <v>0</v>
      </c>
      <c r="AC47">
        <f>IF(C47="UnMet",1,0)</f>
        <v>0</v>
      </c>
      <c r="AD47">
        <f>IF(C47="Not Applicable",1,0)</f>
        <v>0</v>
      </c>
    </row>
    <row r="48" spans="1:30" ht="22.2" thickTop="1" thickBot="1">
      <c r="A48" s="39"/>
      <c r="B48" s="44" t="s">
        <v>76</v>
      </c>
      <c r="C48" s="45"/>
      <c r="D48" s="46"/>
      <c r="E48" s="47"/>
    </row>
    <row r="49" spans="1:32" ht="22.2" thickTop="1" thickBot="1">
      <c r="A49" s="39"/>
      <c r="B49" s="36" t="s">
        <v>77</v>
      </c>
      <c r="C49" s="33"/>
      <c r="D49" s="33"/>
      <c r="E49" s="33"/>
      <c r="AA49">
        <f t="shared" ref="AA49:AA62" si="12">IF(C49="Met",1,0)</f>
        <v>0</v>
      </c>
      <c r="AB49">
        <f t="shared" ref="AB49:AB62" si="13">IF(C49="Partially Met",1,0)</f>
        <v>0</v>
      </c>
      <c r="AC49">
        <f t="shared" ref="AC49:AC62" si="14">IF(C49="UnMet",1,0)</f>
        <v>0</v>
      </c>
      <c r="AD49">
        <f t="shared" ref="AD49:AD62" si="15">IF(C49="Not Applicable",1,0)</f>
        <v>0</v>
      </c>
    </row>
    <row r="50" spans="1:32" ht="22.2" thickTop="1" thickBot="1">
      <c r="A50" s="39"/>
      <c r="B50" s="36" t="s">
        <v>78</v>
      </c>
      <c r="C50" s="33"/>
      <c r="D50" s="33"/>
      <c r="E50" s="33"/>
      <c r="AA50">
        <f t="shared" si="12"/>
        <v>0</v>
      </c>
      <c r="AB50">
        <f t="shared" si="13"/>
        <v>0</v>
      </c>
      <c r="AC50">
        <f t="shared" si="14"/>
        <v>0</v>
      </c>
      <c r="AD50">
        <f t="shared" si="15"/>
        <v>0</v>
      </c>
    </row>
    <row r="51" spans="1:32" ht="18.899999999999999" customHeight="1" thickTop="1" thickBot="1">
      <c r="A51" s="39"/>
      <c r="B51" s="48" t="s">
        <v>79</v>
      </c>
      <c r="C51" s="33"/>
      <c r="D51" s="33"/>
      <c r="E51" s="33"/>
      <c r="AA51">
        <f t="shared" si="12"/>
        <v>0</v>
      </c>
      <c r="AB51">
        <f t="shared" si="13"/>
        <v>0</v>
      </c>
      <c r="AC51">
        <f t="shared" si="14"/>
        <v>0</v>
      </c>
      <c r="AD51">
        <f t="shared" si="15"/>
        <v>0</v>
      </c>
    </row>
    <row r="52" spans="1:32" ht="18.899999999999999" customHeight="1" thickTop="1" thickBot="1">
      <c r="A52" s="39"/>
      <c r="B52" s="48" t="s">
        <v>80</v>
      </c>
      <c r="C52" s="33"/>
      <c r="D52" s="33"/>
      <c r="E52" s="33"/>
      <c r="AA52">
        <f t="shared" si="12"/>
        <v>0</v>
      </c>
      <c r="AB52">
        <f t="shared" si="13"/>
        <v>0</v>
      </c>
      <c r="AC52">
        <f t="shared" si="14"/>
        <v>0</v>
      </c>
      <c r="AD52">
        <f t="shared" si="15"/>
        <v>0</v>
      </c>
    </row>
    <row r="53" spans="1:32" ht="24.9" customHeight="1" thickTop="1" thickBot="1">
      <c r="A53" s="32" t="s">
        <v>81</v>
      </c>
      <c r="B53" s="36" t="s">
        <v>82</v>
      </c>
      <c r="C53" s="33"/>
      <c r="D53" s="33"/>
      <c r="E53" s="33"/>
      <c r="AA53">
        <f t="shared" si="12"/>
        <v>0</v>
      </c>
      <c r="AB53">
        <f t="shared" si="13"/>
        <v>0</v>
      </c>
      <c r="AC53">
        <f t="shared" si="14"/>
        <v>0</v>
      </c>
      <c r="AD53">
        <f t="shared" si="15"/>
        <v>0</v>
      </c>
    </row>
    <row r="54" spans="1:32" ht="44.1" customHeight="1" thickTop="1" thickBot="1">
      <c r="A54" s="32" t="s">
        <v>83</v>
      </c>
      <c r="B54" s="36" t="s">
        <v>84</v>
      </c>
      <c r="C54" s="33"/>
      <c r="D54" s="33"/>
      <c r="E54" s="33"/>
      <c r="AA54">
        <f t="shared" si="12"/>
        <v>0</v>
      </c>
      <c r="AB54">
        <f t="shared" si="13"/>
        <v>0</v>
      </c>
      <c r="AC54">
        <f t="shared" si="14"/>
        <v>0</v>
      </c>
      <c r="AD54">
        <f t="shared" si="15"/>
        <v>0</v>
      </c>
    </row>
    <row r="55" spans="1:32" ht="21.9" customHeight="1" thickTop="1" thickBot="1">
      <c r="A55" s="32" t="s">
        <v>85</v>
      </c>
      <c r="B55" s="36" t="s">
        <v>86</v>
      </c>
      <c r="C55" s="33"/>
      <c r="D55" s="33"/>
      <c r="E55" s="33"/>
      <c r="AA55">
        <f t="shared" si="12"/>
        <v>0</v>
      </c>
      <c r="AB55">
        <f t="shared" si="13"/>
        <v>0</v>
      </c>
      <c r="AC55">
        <f t="shared" si="14"/>
        <v>0</v>
      </c>
      <c r="AD55">
        <f t="shared" si="15"/>
        <v>0</v>
      </c>
    </row>
    <row r="56" spans="1:32" ht="23.1" customHeight="1" thickTop="1" thickBot="1">
      <c r="A56" s="32" t="s">
        <v>87</v>
      </c>
      <c r="B56" s="36" t="s">
        <v>88</v>
      </c>
      <c r="C56" s="33"/>
      <c r="D56" s="33"/>
      <c r="E56" s="33"/>
      <c r="AA56">
        <f t="shared" si="12"/>
        <v>0</v>
      </c>
      <c r="AB56">
        <f t="shared" si="13"/>
        <v>0</v>
      </c>
      <c r="AC56">
        <f t="shared" si="14"/>
        <v>0</v>
      </c>
      <c r="AD56">
        <f t="shared" si="15"/>
        <v>0</v>
      </c>
    </row>
    <row r="57" spans="1:32" ht="22.2" thickTop="1" thickBot="1">
      <c r="A57" s="32" t="s">
        <v>89</v>
      </c>
      <c r="B57" s="36" t="s">
        <v>90</v>
      </c>
      <c r="C57" s="33"/>
      <c r="D57" s="33"/>
      <c r="E57" s="33"/>
      <c r="AA57">
        <f t="shared" si="12"/>
        <v>0</v>
      </c>
      <c r="AB57">
        <f t="shared" si="13"/>
        <v>0</v>
      </c>
      <c r="AC57">
        <f t="shared" si="14"/>
        <v>0</v>
      </c>
      <c r="AD57">
        <f t="shared" si="15"/>
        <v>0</v>
      </c>
    </row>
    <row r="58" spans="1:32" ht="22.2" thickTop="1" thickBot="1">
      <c r="A58" s="32" t="s">
        <v>91</v>
      </c>
      <c r="B58" s="36" t="s">
        <v>92</v>
      </c>
      <c r="C58" s="33"/>
      <c r="D58" s="33"/>
      <c r="E58" s="33"/>
      <c r="AA58">
        <f t="shared" si="12"/>
        <v>0</v>
      </c>
      <c r="AB58">
        <f t="shared" si="13"/>
        <v>0</v>
      </c>
      <c r="AC58">
        <f t="shared" si="14"/>
        <v>0</v>
      </c>
      <c r="AD58">
        <f t="shared" si="15"/>
        <v>0</v>
      </c>
    </row>
    <row r="59" spans="1:32" ht="21.9" customHeight="1" thickTop="1" thickBot="1">
      <c r="A59" s="32" t="s">
        <v>93</v>
      </c>
      <c r="B59" s="36" t="s">
        <v>94</v>
      </c>
      <c r="C59" s="33"/>
      <c r="D59" s="33"/>
      <c r="E59" s="33"/>
      <c r="AA59">
        <f t="shared" si="12"/>
        <v>0</v>
      </c>
      <c r="AB59">
        <f t="shared" si="13"/>
        <v>0</v>
      </c>
      <c r="AC59">
        <f t="shared" si="14"/>
        <v>0</v>
      </c>
      <c r="AD59">
        <f t="shared" si="15"/>
        <v>0</v>
      </c>
    </row>
    <row r="60" spans="1:32" ht="21" customHeight="1" thickTop="1" thickBot="1">
      <c r="A60" s="32" t="s">
        <v>95</v>
      </c>
      <c r="B60" s="36" t="s">
        <v>96</v>
      </c>
      <c r="C60" s="33"/>
      <c r="D60" s="33"/>
      <c r="E60" s="33"/>
      <c r="AA60">
        <f t="shared" si="12"/>
        <v>0</v>
      </c>
      <c r="AB60">
        <f t="shared" si="13"/>
        <v>0</v>
      </c>
      <c r="AC60">
        <f t="shared" si="14"/>
        <v>0</v>
      </c>
      <c r="AD60">
        <f t="shared" si="15"/>
        <v>0</v>
      </c>
    </row>
    <row r="61" spans="1:32" ht="21" customHeight="1" thickTop="1" thickBot="1">
      <c r="A61" s="32" t="s">
        <v>97</v>
      </c>
      <c r="B61" s="36" t="s">
        <v>98</v>
      </c>
      <c r="C61" s="33"/>
      <c r="D61" s="33"/>
      <c r="E61" s="33"/>
      <c r="AA61">
        <f t="shared" si="12"/>
        <v>0</v>
      </c>
      <c r="AB61">
        <f t="shared" si="13"/>
        <v>0</v>
      </c>
      <c r="AC61">
        <f t="shared" si="14"/>
        <v>0</v>
      </c>
      <c r="AD61">
        <f t="shared" si="15"/>
        <v>0</v>
      </c>
    </row>
    <row r="62" spans="1:32" ht="26.1" customHeight="1" thickTop="1" thickBot="1">
      <c r="A62" s="32" t="s">
        <v>99</v>
      </c>
      <c r="B62" s="36" t="s">
        <v>100</v>
      </c>
      <c r="C62" s="33"/>
      <c r="D62" s="33"/>
      <c r="E62" s="33"/>
      <c r="AA62">
        <f t="shared" si="12"/>
        <v>0</v>
      </c>
      <c r="AB62">
        <f t="shared" si="13"/>
        <v>0</v>
      </c>
      <c r="AC62">
        <f t="shared" si="14"/>
        <v>0</v>
      </c>
      <c r="AD62">
        <f t="shared" si="15"/>
        <v>0</v>
      </c>
    </row>
    <row r="63" spans="1:32" ht="65.25" customHeight="1" thickTop="1" thickBot="1">
      <c r="A63" s="30" t="s">
        <v>101</v>
      </c>
      <c r="B63" s="31" t="s">
        <v>102</v>
      </c>
      <c r="C63" s="23" t="s">
        <v>103</v>
      </c>
      <c r="D63" s="24"/>
      <c r="E63" s="25" t="str">
        <f>"Quotation: "&amp;ROUND((AE63/AF63)*100,2)&amp;"%"</f>
        <v>Quotation: 0%</v>
      </c>
      <c r="AE63">
        <f>SUM(AA64:AA78)+SUM(AB64:AB78)*0.5</f>
        <v>0</v>
      </c>
      <c r="AF63">
        <f>COUNT(AA64:AA78)-SUM(AD64:AD78)</f>
        <v>13</v>
      </c>
    </row>
    <row r="64" spans="1:32" ht="33" customHeight="1" thickTop="1" thickBot="1">
      <c r="A64" s="32" t="s">
        <v>104</v>
      </c>
      <c r="B64" s="36" t="s">
        <v>105</v>
      </c>
      <c r="C64" s="33"/>
      <c r="D64" s="33"/>
      <c r="E64" s="33"/>
      <c r="AA64">
        <f>IF(C64="Met",1,0)</f>
        <v>0</v>
      </c>
      <c r="AB64">
        <f>IF(C64="Partially Met",1,0)</f>
        <v>0</v>
      </c>
      <c r="AC64">
        <f>IF(C64="UnMet",1,0)</f>
        <v>0</v>
      </c>
      <c r="AD64">
        <f>IF(C64="Not Applicable",1,0)</f>
        <v>0</v>
      </c>
    </row>
    <row r="65" spans="1:32" ht="24.9" customHeight="1" thickTop="1" thickBot="1">
      <c r="A65" s="39" t="s">
        <v>106</v>
      </c>
      <c r="B65" s="40" t="s">
        <v>107</v>
      </c>
      <c r="C65" s="41"/>
      <c r="D65" s="42"/>
      <c r="E65" s="43"/>
    </row>
    <row r="66" spans="1:32" ht="21" customHeight="1" thickTop="1" thickBot="1">
      <c r="A66" s="39"/>
      <c r="B66" s="48" t="s">
        <v>108</v>
      </c>
      <c r="C66" s="33"/>
      <c r="D66" s="33"/>
      <c r="E66" s="33"/>
      <c r="AA66">
        <f>IF(C66="Met",1,0)</f>
        <v>0</v>
      </c>
      <c r="AB66">
        <f>IF(C66="Partially Met",1,0)</f>
        <v>0</v>
      </c>
      <c r="AC66">
        <f>IF(C66="UnMet",1,0)</f>
        <v>0</v>
      </c>
      <c r="AD66">
        <f>IF(C66="Not Applicable",1,0)</f>
        <v>0</v>
      </c>
    </row>
    <row r="67" spans="1:32" ht="21" customHeight="1" thickTop="1" thickBot="1">
      <c r="A67" s="39"/>
      <c r="B67" s="48" t="s">
        <v>109</v>
      </c>
      <c r="C67" s="33"/>
      <c r="D67" s="33"/>
      <c r="E67" s="33"/>
      <c r="AA67">
        <f>IF(C67="Met",1,0)</f>
        <v>0</v>
      </c>
      <c r="AB67">
        <f>IF(C67="Partially Met",1,0)</f>
        <v>0</v>
      </c>
      <c r="AC67">
        <f>IF(C67="UnMet",1,0)</f>
        <v>0</v>
      </c>
      <c r="AD67">
        <f>IF(C67="Not Applicable",1,0)</f>
        <v>0</v>
      </c>
    </row>
    <row r="68" spans="1:32" ht="22.2" thickTop="1" thickBot="1">
      <c r="A68" s="39"/>
      <c r="B68" s="48" t="s">
        <v>110</v>
      </c>
      <c r="C68" s="33"/>
      <c r="D68" s="33"/>
      <c r="E68" s="33"/>
      <c r="AA68">
        <f>IF(C68="Met",1,0)</f>
        <v>0</v>
      </c>
      <c r="AB68">
        <f>IF(C68="Partially Met",1,0)</f>
        <v>0</v>
      </c>
      <c r="AC68">
        <f>IF(C68="UnMet",1,0)</f>
        <v>0</v>
      </c>
      <c r="AD68">
        <f>IF(C68="Not Applicable",1,0)</f>
        <v>0</v>
      </c>
    </row>
    <row r="69" spans="1:32" ht="22.2" thickTop="1" thickBot="1">
      <c r="A69" s="39"/>
      <c r="B69" s="48" t="s">
        <v>111</v>
      </c>
      <c r="C69" s="33"/>
      <c r="D69" s="33"/>
      <c r="E69" s="33"/>
      <c r="AA69">
        <f>IF(C69="Met",1,0)</f>
        <v>0</v>
      </c>
      <c r="AB69">
        <f>IF(C69="Partially Met",1,0)</f>
        <v>0</v>
      </c>
      <c r="AC69">
        <f>IF(C69="UnMet",1,0)</f>
        <v>0</v>
      </c>
      <c r="AD69">
        <f>IF(C69="Not Applicable",1,0)</f>
        <v>0</v>
      </c>
    </row>
    <row r="70" spans="1:32" ht="22.2" thickTop="1" thickBot="1">
      <c r="A70" s="39" t="s">
        <v>112</v>
      </c>
      <c r="B70" s="49" t="s">
        <v>113</v>
      </c>
      <c r="C70" s="41"/>
      <c r="D70" s="42"/>
      <c r="E70" s="43"/>
    </row>
    <row r="71" spans="1:32" ht="22.2" thickTop="1" thickBot="1">
      <c r="A71" s="39"/>
      <c r="B71" s="50" t="s">
        <v>114</v>
      </c>
      <c r="C71" s="33"/>
      <c r="D71" s="33"/>
      <c r="E71" s="33"/>
      <c r="AA71">
        <f t="shared" ref="AA71:AA78" si="16">IF(C71="Met",1,0)</f>
        <v>0</v>
      </c>
      <c r="AB71">
        <f t="shared" ref="AB71:AB78" si="17">IF(C71="Partially Met",1,0)</f>
        <v>0</v>
      </c>
      <c r="AC71">
        <f t="shared" ref="AC71:AC78" si="18">IF(C71="UnMet",1,0)</f>
        <v>0</v>
      </c>
      <c r="AD71">
        <f t="shared" ref="AD71:AD78" si="19">IF(C71="Not Applicable",1,0)</f>
        <v>0</v>
      </c>
    </row>
    <row r="72" spans="1:32" ht="24.9" customHeight="1" thickTop="1" thickBot="1">
      <c r="A72" s="39"/>
      <c r="B72" s="50" t="s">
        <v>115</v>
      </c>
      <c r="C72" s="33"/>
      <c r="D72" s="33"/>
      <c r="E72" s="33"/>
      <c r="AA72">
        <f t="shared" si="16"/>
        <v>0</v>
      </c>
      <c r="AB72">
        <f t="shared" si="17"/>
        <v>0</v>
      </c>
      <c r="AC72">
        <f t="shared" si="18"/>
        <v>0</v>
      </c>
      <c r="AD72">
        <f t="shared" si="19"/>
        <v>0</v>
      </c>
    </row>
    <row r="73" spans="1:32" ht="20.100000000000001" customHeight="1" thickTop="1" thickBot="1">
      <c r="A73" s="39"/>
      <c r="B73" s="50" t="s">
        <v>116</v>
      </c>
      <c r="C73" s="33"/>
      <c r="D73" s="33"/>
      <c r="E73" s="33"/>
      <c r="AA73">
        <f t="shared" si="16"/>
        <v>0</v>
      </c>
      <c r="AB73">
        <f t="shared" si="17"/>
        <v>0</v>
      </c>
      <c r="AC73">
        <f t="shared" si="18"/>
        <v>0</v>
      </c>
      <c r="AD73">
        <f t="shared" si="19"/>
        <v>0</v>
      </c>
    </row>
    <row r="74" spans="1:32" ht="21.9" customHeight="1" thickTop="1" thickBot="1">
      <c r="A74" s="39"/>
      <c r="B74" s="50" t="s">
        <v>117</v>
      </c>
      <c r="C74" s="33"/>
      <c r="D74" s="33"/>
      <c r="E74" s="33"/>
      <c r="AA74">
        <f t="shared" si="16"/>
        <v>0</v>
      </c>
      <c r="AB74">
        <f t="shared" si="17"/>
        <v>0</v>
      </c>
      <c r="AC74">
        <f t="shared" si="18"/>
        <v>0</v>
      </c>
      <c r="AD74">
        <f t="shared" si="19"/>
        <v>0</v>
      </c>
    </row>
    <row r="75" spans="1:32" ht="22.2" thickTop="1" thickBot="1">
      <c r="A75" s="39"/>
      <c r="B75" s="50" t="s">
        <v>118</v>
      </c>
      <c r="C75" s="33"/>
      <c r="D75" s="33"/>
      <c r="E75" s="33"/>
      <c r="AA75">
        <f t="shared" si="16"/>
        <v>0</v>
      </c>
      <c r="AB75">
        <f t="shared" si="17"/>
        <v>0</v>
      </c>
      <c r="AC75">
        <f t="shared" si="18"/>
        <v>0</v>
      </c>
      <c r="AD75">
        <f t="shared" si="19"/>
        <v>0</v>
      </c>
    </row>
    <row r="76" spans="1:32" ht="30" customHeight="1" thickTop="1" thickBot="1">
      <c r="A76" s="32" t="s">
        <v>119</v>
      </c>
      <c r="B76" s="27" t="s">
        <v>120</v>
      </c>
      <c r="C76" s="33"/>
      <c r="D76" s="33"/>
      <c r="E76" s="33"/>
      <c r="AA76">
        <f t="shared" si="16"/>
        <v>0</v>
      </c>
      <c r="AB76">
        <f t="shared" si="17"/>
        <v>0</v>
      </c>
      <c r="AC76">
        <f t="shared" si="18"/>
        <v>0</v>
      </c>
      <c r="AD76">
        <f t="shared" si="19"/>
        <v>0</v>
      </c>
    </row>
    <row r="77" spans="1:32" ht="21.9" customHeight="1" thickTop="1" thickBot="1">
      <c r="A77" s="32" t="s">
        <v>121</v>
      </c>
      <c r="B77" s="27" t="s">
        <v>122</v>
      </c>
      <c r="C77" s="51"/>
      <c r="D77" s="52"/>
      <c r="E77" s="52"/>
      <c r="AA77">
        <f t="shared" si="16"/>
        <v>0</v>
      </c>
      <c r="AB77">
        <f t="shared" si="17"/>
        <v>0</v>
      </c>
      <c r="AC77">
        <f t="shared" si="18"/>
        <v>0</v>
      </c>
      <c r="AD77">
        <f t="shared" si="19"/>
        <v>0</v>
      </c>
    </row>
    <row r="78" spans="1:32" ht="37.5" customHeight="1" thickTop="1" thickBot="1">
      <c r="A78" s="32" t="s">
        <v>123</v>
      </c>
      <c r="B78" s="27" t="s">
        <v>124</v>
      </c>
      <c r="C78" s="51"/>
      <c r="D78" s="52"/>
      <c r="E78" s="52"/>
      <c r="AA78">
        <f t="shared" si="16"/>
        <v>0</v>
      </c>
      <c r="AB78">
        <f t="shared" si="17"/>
        <v>0</v>
      </c>
      <c r="AC78">
        <f t="shared" si="18"/>
        <v>0</v>
      </c>
      <c r="AD78">
        <f t="shared" si="19"/>
        <v>0</v>
      </c>
    </row>
    <row r="79" spans="1:32" ht="75.75" customHeight="1" thickTop="1" thickBot="1">
      <c r="A79" s="30" t="s">
        <v>125</v>
      </c>
      <c r="B79" s="31" t="s">
        <v>126</v>
      </c>
      <c r="C79" s="23" t="s">
        <v>127</v>
      </c>
      <c r="D79" s="24"/>
      <c r="E79" s="25" t="str">
        <f>"Quotation: "&amp;ROUND((AE79/AF79)*100,2)&amp;"%"</f>
        <v>Quotation: 0%</v>
      </c>
      <c r="AE79">
        <f>SUM(AA80:AA87)+SUM(AB80:AB87)*0.5</f>
        <v>0</v>
      </c>
      <c r="AF79">
        <f>COUNT(AA80:AA87)-SUM(AD80:AD87)</f>
        <v>8</v>
      </c>
    </row>
    <row r="80" spans="1:32" ht="43.2" thickTop="1" thickBot="1">
      <c r="A80" s="53" t="s">
        <v>125</v>
      </c>
      <c r="B80" s="54" t="s">
        <v>128</v>
      </c>
      <c r="C80" s="33"/>
      <c r="D80" s="33"/>
      <c r="E80" s="33"/>
      <c r="AA80">
        <f t="shared" ref="AA80:AA87" si="20">IF(C80="Met",1,0)</f>
        <v>0</v>
      </c>
      <c r="AB80">
        <f t="shared" ref="AB80:AB87" si="21">IF(C80="Partially Met",1,0)</f>
        <v>0</v>
      </c>
      <c r="AC80">
        <f t="shared" ref="AC80:AC87" si="22">IF(C80="UnMet",1,0)</f>
        <v>0</v>
      </c>
      <c r="AD80">
        <f t="shared" ref="AD80:AD87" si="23">IF(C80="Not Applicable",1,0)</f>
        <v>0</v>
      </c>
    </row>
    <row r="81" spans="1:32" ht="64.2" thickTop="1" thickBot="1">
      <c r="A81" s="53" t="s">
        <v>129</v>
      </c>
      <c r="B81" s="54" t="s">
        <v>130</v>
      </c>
      <c r="C81" s="33"/>
      <c r="D81" s="33"/>
      <c r="E81" s="33"/>
      <c r="AA81">
        <f t="shared" si="20"/>
        <v>0</v>
      </c>
      <c r="AB81">
        <f t="shared" si="21"/>
        <v>0</v>
      </c>
      <c r="AC81">
        <f t="shared" si="22"/>
        <v>0</v>
      </c>
      <c r="AD81">
        <f t="shared" si="23"/>
        <v>0</v>
      </c>
    </row>
    <row r="82" spans="1:32" ht="46.5" customHeight="1" thickTop="1" thickBot="1">
      <c r="A82" s="53" t="s">
        <v>131</v>
      </c>
      <c r="B82" s="54" t="s">
        <v>132</v>
      </c>
      <c r="C82" s="33"/>
      <c r="D82" s="33"/>
      <c r="E82" s="33"/>
      <c r="AA82">
        <f t="shared" si="20"/>
        <v>0</v>
      </c>
      <c r="AB82">
        <f t="shared" si="21"/>
        <v>0</v>
      </c>
      <c r="AC82">
        <f t="shared" si="22"/>
        <v>0</v>
      </c>
      <c r="AD82">
        <f t="shared" si="23"/>
        <v>0</v>
      </c>
    </row>
    <row r="83" spans="1:32" ht="30" customHeight="1" thickTop="1" thickBot="1">
      <c r="A83" s="53" t="s">
        <v>133</v>
      </c>
      <c r="B83" s="54" t="s">
        <v>134</v>
      </c>
      <c r="C83" s="33"/>
      <c r="D83" s="33"/>
      <c r="E83" s="33"/>
      <c r="AA83">
        <f t="shared" si="20"/>
        <v>0</v>
      </c>
      <c r="AB83">
        <f t="shared" si="21"/>
        <v>0</v>
      </c>
      <c r="AC83">
        <f t="shared" si="22"/>
        <v>0</v>
      </c>
      <c r="AD83">
        <f t="shared" si="23"/>
        <v>0</v>
      </c>
    </row>
    <row r="84" spans="1:32" ht="33" customHeight="1" thickTop="1" thickBot="1">
      <c r="A84" s="53" t="s">
        <v>135</v>
      </c>
      <c r="B84" s="54" t="s">
        <v>136</v>
      </c>
      <c r="C84" s="33"/>
      <c r="D84" s="33"/>
      <c r="E84" s="33"/>
      <c r="AA84">
        <f t="shared" si="20"/>
        <v>0</v>
      </c>
      <c r="AB84">
        <f t="shared" si="21"/>
        <v>0</v>
      </c>
      <c r="AC84">
        <f t="shared" si="22"/>
        <v>0</v>
      </c>
      <c r="AD84">
        <f t="shared" si="23"/>
        <v>0</v>
      </c>
    </row>
    <row r="85" spans="1:32" ht="43.2" thickTop="1" thickBot="1">
      <c r="A85" s="53" t="s">
        <v>137</v>
      </c>
      <c r="B85" s="54" t="s">
        <v>138</v>
      </c>
      <c r="C85" s="33"/>
      <c r="D85" s="33"/>
      <c r="E85" s="33"/>
      <c r="AA85">
        <f t="shared" si="20"/>
        <v>0</v>
      </c>
      <c r="AB85">
        <f t="shared" si="21"/>
        <v>0</v>
      </c>
      <c r="AC85">
        <f t="shared" si="22"/>
        <v>0</v>
      </c>
      <c r="AD85">
        <f t="shared" si="23"/>
        <v>0</v>
      </c>
    </row>
    <row r="86" spans="1:32" ht="30.9" customHeight="1" thickTop="1" thickBot="1">
      <c r="A86" s="53" t="s">
        <v>139</v>
      </c>
      <c r="B86" s="54" t="s">
        <v>140</v>
      </c>
      <c r="C86" s="33"/>
      <c r="D86" s="33"/>
      <c r="E86" s="33"/>
      <c r="AA86">
        <f t="shared" si="20"/>
        <v>0</v>
      </c>
      <c r="AB86">
        <f t="shared" si="21"/>
        <v>0</v>
      </c>
      <c r="AC86">
        <f t="shared" si="22"/>
        <v>0</v>
      </c>
      <c r="AD86">
        <f t="shared" si="23"/>
        <v>0</v>
      </c>
    </row>
    <row r="87" spans="1:32" ht="43.2" thickTop="1" thickBot="1">
      <c r="A87" s="53" t="s">
        <v>141</v>
      </c>
      <c r="B87" s="54" t="s">
        <v>142</v>
      </c>
      <c r="C87" s="33"/>
      <c r="D87" s="33"/>
      <c r="E87" s="33"/>
      <c r="AA87">
        <f t="shared" si="20"/>
        <v>0</v>
      </c>
      <c r="AB87">
        <f t="shared" si="21"/>
        <v>0</v>
      </c>
      <c r="AC87">
        <f t="shared" si="22"/>
        <v>0</v>
      </c>
      <c r="AD87">
        <f t="shared" si="23"/>
        <v>0</v>
      </c>
    </row>
    <row r="88" spans="1:32" ht="72.75" customHeight="1" thickTop="1" thickBot="1">
      <c r="A88" s="30" t="s">
        <v>143</v>
      </c>
      <c r="B88" s="31" t="s">
        <v>144</v>
      </c>
      <c r="C88" s="23" t="s">
        <v>127</v>
      </c>
      <c r="D88" s="24"/>
      <c r="E88" s="25" t="str">
        <f>"Quotation: "&amp;ROUND((AE88/AF88)*100,2)&amp;"%"</f>
        <v>Quotation: 0%</v>
      </c>
      <c r="AE88">
        <f>SUM(AA89:AA96)+SUM(AB89:AB96)*0.5</f>
        <v>0</v>
      </c>
      <c r="AF88">
        <f>COUNT(AA89:AA96)-SUM(AD89:AD96)</f>
        <v>8</v>
      </c>
    </row>
    <row r="89" spans="1:32" ht="46.5" customHeight="1" thickTop="1" thickBot="1">
      <c r="A89" s="53" t="s">
        <v>145</v>
      </c>
      <c r="B89" s="55" t="s">
        <v>146</v>
      </c>
      <c r="C89" s="51"/>
      <c r="D89" s="51"/>
      <c r="E89" s="51"/>
      <c r="AA89">
        <f t="shared" ref="AA89:AA96" si="24">IF(C89="Met",1,0)</f>
        <v>0</v>
      </c>
      <c r="AB89">
        <f t="shared" ref="AB89:AB96" si="25">IF(C89="Partially Met",1,0)</f>
        <v>0</v>
      </c>
      <c r="AC89">
        <f t="shared" ref="AC89:AC96" si="26">IF(C89="UnMet",1,0)</f>
        <v>0</v>
      </c>
      <c r="AD89">
        <f t="shared" ref="AD89:AD96" si="27">IF(C89="Not Applicable",1,0)</f>
        <v>0</v>
      </c>
    </row>
    <row r="90" spans="1:32" ht="31.5" customHeight="1" thickTop="1" thickBot="1">
      <c r="A90" s="53" t="s">
        <v>147</v>
      </c>
      <c r="B90" s="36" t="s">
        <v>148</v>
      </c>
      <c r="C90" s="33"/>
      <c r="D90" s="33"/>
      <c r="E90" s="33"/>
      <c r="AA90">
        <f t="shared" si="24"/>
        <v>0</v>
      </c>
      <c r="AB90">
        <f t="shared" si="25"/>
        <v>0</v>
      </c>
      <c r="AC90">
        <f t="shared" si="26"/>
        <v>0</v>
      </c>
      <c r="AD90">
        <f t="shared" si="27"/>
        <v>0</v>
      </c>
    </row>
    <row r="91" spans="1:32" ht="35.25" customHeight="1" thickTop="1" thickBot="1">
      <c r="A91" s="53" t="s">
        <v>149</v>
      </c>
      <c r="B91" s="36" t="s">
        <v>150</v>
      </c>
      <c r="C91" s="33"/>
      <c r="D91" s="33"/>
      <c r="E91" s="33"/>
      <c r="AA91">
        <f t="shared" si="24"/>
        <v>0</v>
      </c>
      <c r="AB91">
        <f t="shared" si="25"/>
        <v>0</v>
      </c>
      <c r="AC91">
        <f t="shared" si="26"/>
        <v>0</v>
      </c>
      <c r="AD91">
        <f t="shared" si="27"/>
        <v>0</v>
      </c>
    </row>
    <row r="92" spans="1:32" ht="37.200000000000003" thickTop="1" thickBot="1">
      <c r="A92" s="53" t="s">
        <v>151</v>
      </c>
      <c r="B92" s="36" t="s">
        <v>152</v>
      </c>
      <c r="C92" s="33"/>
      <c r="D92" s="33"/>
      <c r="E92" s="33"/>
      <c r="AA92">
        <f t="shared" si="24"/>
        <v>0</v>
      </c>
      <c r="AB92">
        <f t="shared" si="25"/>
        <v>0</v>
      </c>
      <c r="AC92">
        <f t="shared" si="26"/>
        <v>0</v>
      </c>
      <c r="AD92">
        <f t="shared" si="27"/>
        <v>0</v>
      </c>
    </row>
    <row r="93" spans="1:32" ht="32.25" customHeight="1" thickTop="1" thickBot="1">
      <c r="A93" s="53" t="s">
        <v>153</v>
      </c>
      <c r="B93" s="36" t="s">
        <v>154</v>
      </c>
      <c r="C93" s="33"/>
      <c r="D93" s="33"/>
      <c r="E93" s="33"/>
      <c r="AA93">
        <f t="shared" si="24"/>
        <v>0</v>
      </c>
      <c r="AB93">
        <f t="shared" si="25"/>
        <v>0</v>
      </c>
      <c r="AC93">
        <f t="shared" si="26"/>
        <v>0</v>
      </c>
      <c r="AD93">
        <f t="shared" si="27"/>
        <v>0</v>
      </c>
    </row>
    <row r="94" spans="1:32" ht="35.25" customHeight="1" thickTop="1" thickBot="1">
      <c r="A94" s="53" t="s">
        <v>155</v>
      </c>
      <c r="B94" s="36" t="s">
        <v>156</v>
      </c>
      <c r="C94" s="33"/>
      <c r="D94" s="33"/>
      <c r="E94" s="33"/>
      <c r="AA94">
        <f t="shared" si="24"/>
        <v>0</v>
      </c>
      <c r="AB94">
        <f t="shared" si="25"/>
        <v>0</v>
      </c>
      <c r="AC94">
        <f t="shared" si="26"/>
        <v>0</v>
      </c>
      <c r="AD94">
        <f t="shared" si="27"/>
        <v>0</v>
      </c>
    </row>
    <row r="95" spans="1:32" ht="29.25" customHeight="1" thickTop="1" thickBot="1">
      <c r="A95" s="53" t="s">
        <v>157</v>
      </c>
      <c r="B95" s="36" t="s">
        <v>158</v>
      </c>
      <c r="C95" s="33"/>
      <c r="D95" s="33"/>
      <c r="E95" s="33"/>
      <c r="AA95">
        <f t="shared" si="24"/>
        <v>0</v>
      </c>
      <c r="AB95">
        <f t="shared" si="25"/>
        <v>0</v>
      </c>
      <c r="AC95">
        <f t="shared" si="26"/>
        <v>0</v>
      </c>
      <c r="AD95">
        <f t="shared" si="27"/>
        <v>0</v>
      </c>
    </row>
    <row r="96" spans="1:32" ht="42" customHeight="1" thickTop="1" thickBot="1">
      <c r="A96" s="53" t="s">
        <v>159</v>
      </c>
      <c r="B96" s="36" t="s">
        <v>160</v>
      </c>
      <c r="C96" s="51"/>
      <c r="D96" s="51"/>
      <c r="E96" s="51"/>
      <c r="AA96">
        <f t="shared" si="24"/>
        <v>0</v>
      </c>
      <c r="AB96">
        <f t="shared" si="25"/>
        <v>0</v>
      </c>
      <c r="AC96">
        <f t="shared" si="26"/>
        <v>0</v>
      </c>
      <c r="AD96">
        <f t="shared" si="27"/>
        <v>0</v>
      </c>
    </row>
    <row r="97" spans="1:32" ht="63" customHeight="1" thickTop="1" thickBot="1">
      <c r="A97" s="30" t="s">
        <v>161</v>
      </c>
      <c r="B97" s="56" t="s">
        <v>162</v>
      </c>
      <c r="C97" s="23" t="s">
        <v>163</v>
      </c>
      <c r="D97" s="24"/>
      <c r="E97" s="25" t="str">
        <f>"Quotation: "&amp;ROUND((AE97/AF97)*100,2)&amp;"%"</f>
        <v>Quotation: 0%</v>
      </c>
      <c r="AE97">
        <f>SUM(AA98:AA107)+SUM(AB98:AB107)*0.5</f>
        <v>0</v>
      </c>
      <c r="AF97">
        <f>COUNT(AA98:AA107)-SUM(AD98:AD107)</f>
        <v>10</v>
      </c>
    </row>
    <row r="98" spans="1:32" ht="45.9" customHeight="1" thickTop="1" thickBot="1">
      <c r="A98" s="53" t="s">
        <v>164</v>
      </c>
      <c r="B98" s="36" t="s">
        <v>165</v>
      </c>
      <c r="C98" s="57"/>
      <c r="D98" s="57"/>
      <c r="E98" s="57"/>
      <c r="AA98">
        <f t="shared" ref="AA98:AA107" si="28">IF(C98="Met",1,0)</f>
        <v>0</v>
      </c>
      <c r="AB98">
        <f t="shared" ref="AB98:AB107" si="29">IF(C98="Partially Met",1,0)</f>
        <v>0</v>
      </c>
      <c r="AC98">
        <f t="shared" ref="AC98:AC107" si="30">IF(C98="UnMet",1,0)</f>
        <v>0</v>
      </c>
      <c r="AD98">
        <f t="shared" ref="AD98:AD107" si="31">IF(C98="Not Applicable",1,0)</f>
        <v>0</v>
      </c>
    </row>
    <row r="99" spans="1:32" ht="27" customHeight="1" thickTop="1" thickBot="1">
      <c r="A99" s="53" t="s">
        <v>166</v>
      </c>
      <c r="B99" s="36" t="s">
        <v>167</v>
      </c>
      <c r="C99" s="33"/>
      <c r="D99" s="33"/>
      <c r="E99" s="33"/>
      <c r="AA99">
        <f t="shared" si="28"/>
        <v>0</v>
      </c>
      <c r="AB99">
        <f t="shared" si="29"/>
        <v>0</v>
      </c>
      <c r="AC99">
        <f t="shared" si="30"/>
        <v>0</v>
      </c>
      <c r="AD99">
        <f t="shared" si="31"/>
        <v>0</v>
      </c>
    </row>
    <row r="100" spans="1:32" ht="37.200000000000003" thickTop="1" thickBot="1">
      <c r="A100" s="53" t="s">
        <v>168</v>
      </c>
      <c r="B100" s="36" t="s">
        <v>169</v>
      </c>
      <c r="C100" s="33"/>
      <c r="D100" s="33"/>
      <c r="E100" s="33"/>
      <c r="AA100">
        <f t="shared" si="28"/>
        <v>0</v>
      </c>
      <c r="AB100">
        <f t="shared" si="29"/>
        <v>0</v>
      </c>
      <c r="AC100">
        <f t="shared" si="30"/>
        <v>0</v>
      </c>
      <c r="AD100">
        <f t="shared" si="31"/>
        <v>0</v>
      </c>
    </row>
    <row r="101" spans="1:32" ht="22.2" thickTop="1" thickBot="1">
      <c r="A101" s="53" t="s">
        <v>170</v>
      </c>
      <c r="B101" s="36" t="s">
        <v>171</v>
      </c>
      <c r="C101" s="33"/>
      <c r="D101" s="33"/>
      <c r="E101" s="33"/>
      <c r="AA101">
        <f t="shared" si="28"/>
        <v>0</v>
      </c>
      <c r="AB101">
        <f t="shared" si="29"/>
        <v>0</v>
      </c>
      <c r="AC101">
        <f t="shared" si="30"/>
        <v>0</v>
      </c>
      <c r="AD101">
        <f t="shared" si="31"/>
        <v>0</v>
      </c>
    </row>
    <row r="102" spans="1:32" ht="22.2" thickTop="1" thickBot="1">
      <c r="A102" s="53" t="s">
        <v>172</v>
      </c>
      <c r="B102" s="36" t="s">
        <v>173</v>
      </c>
      <c r="C102" s="33"/>
      <c r="D102" s="33"/>
      <c r="E102" s="33"/>
      <c r="AA102">
        <f t="shared" si="28"/>
        <v>0</v>
      </c>
      <c r="AB102">
        <f t="shared" si="29"/>
        <v>0</v>
      </c>
      <c r="AC102">
        <f t="shared" si="30"/>
        <v>0</v>
      </c>
      <c r="AD102">
        <f t="shared" si="31"/>
        <v>0</v>
      </c>
    </row>
    <row r="103" spans="1:32" ht="33.75" customHeight="1" thickTop="1" thickBot="1">
      <c r="A103" s="53" t="s">
        <v>174</v>
      </c>
      <c r="B103" s="36" t="s">
        <v>175</v>
      </c>
      <c r="C103" s="33"/>
      <c r="D103" s="33"/>
      <c r="E103" s="33"/>
      <c r="AA103">
        <f t="shared" si="28"/>
        <v>0</v>
      </c>
      <c r="AB103">
        <f t="shared" si="29"/>
        <v>0</v>
      </c>
      <c r="AC103">
        <f t="shared" si="30"/>
        <v>0</v>
      </c>
      <c r="AD103">
        <f t="shared" si="31"/>
        <v>0</v>
      </c>
    </row>
    <row r="104" spans="1:32" ht="37.200000000000003" thickTop="1" thickBot="1">
      <c r="A104" s="53" t="s">
        <v>176</v>
      </c>
      <c r="B104" s="36" t="s">
        <v>177</v>
      </c>
      <c r="C104" s="33"/>
      <c r="D104" s="33"/>
      <c r="E104" s="33"/>
      <c r="AA104">
        <f t="shared" si="28"/>
        <v>0</v>
      </c>
      <c r="AB104">
        <f t="shared" si="29"/>
        <v>0</v>
      </c>
      <c r="AC104">
        <f t="shared" si="30"/>
        <v>0</v>
      </c>
      <c r="AD104">
        <f t="shared" si="31"/>
        <v>0</v>
      </c>
    </row>
    <row r="105" spans="1:32" ht="24" customHeight="1" thickTop="1" thickBot="1">
      <c r="A105" s="53" t="s">
        <v>178</v>
      </c>
      <c r="B105" s="36" t="s">
        <v>179</v>
      </c>
      <c r="C105" s="33"/>
      <c r="D105" s="33"/>
      <c r="E105" s="33"/>
      <c r="AA105">
        <f t="shared" si="28"/>
        <v>0</v>
      </c>
      <c r="AB105">
        <f t="shared" si="29"/>
        <v>0</v>
      </c>
      <c r="AC105">
        <f t="shared" si="30"/>
        <v>0</v>
      </c>
      <c r="AD105">
        <f t="shared" si="31"/>
        <v>0</v>
      </c>
    </row>
    <row r="106" spans="1:32" ht="23.1" customHeight="1" thickTop="1" thickBot="1">
      <c r="A106" s="53" t="s">
        <v>180</v>
      </c>
      <c r="B106" s="36" t="s">
        <v>181</v>
      </c>
      <c r="C106" s="33"/>
      <c r="D106" s="33"/>
      <c r="E106" s="33"/>
      <c r="AA106">
        <f t="shared" si="28"/>
        <v>0</v>
      </c>
      <c r="AB106">
        <f t="shared" si="29"/>
        <v>0</v>
      </c>
      <c r="AC106">
        <f t="shared" si="30"/>
        <v>0</v>
      </c>
      <c r="AD106">
        <f t="shared" si="31"/>
        <v>0</v>
      </c>
    </row>
    <row r="107" spans="1:32" ht="30" customHeight="1" thickTop="1" thickBot="1">
      <c r="A107" s="53" t="s">
        <v>182</v>
      </c>
      <c r="B107" s="36" t="s">
        <v>183</v>
      </c>
      <c r="C107" s="33"/>
      <c r="D107" s="33"/>
      <c r="E107" s="33"/>
      <c r="AA107">
        <f t="shared" si="28"/>
        <v>0</v>
      </c>
      <c r="AB107">
        <f t="shared" si="29"/>
        <v>0</v>
      </c>
      <c r="AC107">
        <f t="shared" si="30"/>
        <v>0</v>
      </c>
      <c r="AD107">
        <f t="shared" si="31"/>
        <v>0</v>
      </c>
    </row>
    <row r="108" spans="1:32" ht="45.75" customHeight="1" thickTop="1" thickBot="1">
      <c r="A108" s="30" t="s">
        <v>184</v>
      </c>
      <c r="B108" s="58" t="s">
        <v>185</v>
      </c>
      <c r="C108" s="23" t="s">
        <v>186</v>
      </c>
      <c r="D108" s="24"/>
      <c r="E108" s="25" t="str">
        <f>"Quotation: "&amp;ROUND((AE108/AF108)*100,2)&amp;"%"</f>
        <v>Quotation: 0%</v>
      </c>
      <c r="AE108">
        <f>SUM(AA109:AA117)+SUM(AB109:AB117)*0.5</f>
        <v>0</v>
      </c>
      <c r="AF108">
        <f>COUNT(AA109:AA117)-SUM(AD109:AD117)</f>
        <v>9</v>
      </c>
    </row>
    <row r="109" spans="1:32" ht="39.9" customHeight="1" thickTop="1" thickBot="1">
      <c r="A109" s="53" t="s">
        <v>187</v>
      </c>
      <c r="B109" s="36" t="s">
        <v>188</v>
      </c>
      <c r="C109" s="33"/>
      <c r="D109" s="33"/>
      <c r="E109" s="33"/>
      <c r="AA109">
        <f t="shared" ref="AA109:AA117" si="32">IF(C109="Met",1,0)</f>
        <v>0</v>
      </c>
      <c r="AB109">
        <f t="shared" ref="AB109:AB117" si="33">IF(C109="Partially Met",1,0)</f>
        <v>0</v>
      </c>
      <c r="AC109">
        <f t="shared" ref="AC109:AC117" si="34">IF(C109="UnMet",1,0)</f>
        <v>0</v>
      </c>
      <c r="AD109">
        <f t="shared" ref="AD109:AD117" si="35">IF(C109="Not Applicable",1,0)</f>
        <v>0</v>
      </c>
    </row>
    <row r="110" spans="1:32" ht="92.1" customHeight="1" thickTop="1" thickBot="1">
      <c r="A110" s="53" t="s">
        <v>189</v>
      </c>
      <c r="B110" s="36" t="s">
        <v>190</v>
      </c>
      <c r="C110" s="33"/>
      <c r="D110" s="33"/>
      <c r="E110" s="33"/>
      <c r="AA110">
        <f t="shared" si="32"/>
        <v>0</v>
      </c>
      <c r="AB110">
        <f t="shared" si="33"/>
        <v>0</v>
      </c>
      <c r="AC110">
        <f t="shared" si="34"/>
        <v>0</v>
      </c>
      <c r="AD110">
        <f t="shared" si="35"/>
        <v>0</v>
      </c>
    </row>
    <row r="111" spans="1:32" ht="53.1" customHeight="1" thickTop="1" thickBot="1">
      <c r="A111" s="53" t="s">
        <v>191</v>
      </c>
      <c r="B111" s="36" t="s">
        <v>192</v>
      </c>
      <c r="C111" s="33"/>
      <c r="D111" s="33"/>
      <c r="E111" s="33"/>
      <c r="AA111">
        <f t="shared" si="32"/>
        <v>0</v>
      </c>
      <c r="AB111">
        <f t="shared" si="33"/>
        <v>0</v>
      </c>
      <c r="AC111">
        <f t="shared" si="34"/>
        <v>0</v>
      </c>
      <c r="AD111">
        <f t="shared" si="35"/>
        <v>0</v>
      </c>
    </row>
    <row r="112" spans="1:32" ht="37.200000000000003" thickTop="1" thickBot="1">
      <c r="A112" s="53" t="s">
        <v>193</v>
      </c>
      <c r="B112" s="36" t="s">
        <v>194</v>
      </c>
      <c r="C112" s="33"/>
      <c r="D112" s="33"/>
      <c r="E112" s="33"/>
      <c r="AA112">
        <f t="shared" si="32"/>
        <v>0</v>
      </c>
      <c r="AB112">
        <f t="shared" si="33"/>
        <v>0</v>
      </c>
      <c r="AC112">
        <f t="shared" si="34"/>
        <v>0</v>
      </c>
      <c r="AD112">
        <f t="shared" si="35"/>
        <v>0</v>
      </c>
    </row>
    <row r="113" spans="1:32" ht="22.2" thickTop="1" thickBot="1">
      <c r="A113" s="53" t="s">
        <v>195</v>
      </c>
      <c r="B113" s="36" t="s">
        <v>196</v>
      </c>
      <c r="C113" s="33"/>
      <c r="D113" s="33"/>
      <c r="E113" s="33"/>
      <c r="AA113">
        <f t="shared" si="32"/>
        <v>0</v>
      </c>
      <c r="AB113">
        <f t="shared" si="33"/>
        <v>0</v>
      </c>
      <c r="AC113">
        <f t="shared" si="34"/>
        <v>0</v>
      </c>
      <c r="AD113">
        <f t="shared" si="35"/>
        <v>0</v>
      </c>
    </row>
    <row r="114" spans="1:32" ht="22.2" thickTop="1" thickBot="1">
      <c r="A114" s="53" t="s">
        <v>197</v>
      </c>
      <c r="B114" s="36" t="s">
        <v>198</v>
      </c>
      <c r="C114" s="33"/>
      <c r="D114" s="33"/>
      <c r="E114" s="33"/>
      <c r="AA114">
        <f t="shared" si="32"/>
        <v>0</v>
      </c>
      <c r="AB114">
        <f t="shared" si="33"/>
        <v>0</v>
      </c>
      <c r="AC114">
        <f t="shared" si="34"/>
        <v>0</v>
      </c>
      <c r="AD114">
        <f t="shared" si="35"/>
        <v>0</v>
      </c>
    </row>
    <row r="115" spans="1:32" ht="39.9" customHeight="1" thickTop="1" thickBot="1">
      <c r="A115" s="53" t="s">
        <v>199</v>
      </c>
      <c r="B115" s="36" t="s">
        <v>200</v>
      </c>
      <c r="C115" s="33"/>
      <c r="D115" s="33"/>
      <c r="E115" s="33"/>
      <c r="AA115">
        <f t="shared" si="32"/>
        <v>0</v>
      </c>
      <c r="AB115">
        <f t="shared" si="33"/>
        <v>0</v>
      </c>
      <c r="AC115">
        <f t="shared" si="34"/>
        <v>0</v>
      </c>
      <c r="AD115">
        <f t="shared" si="35"/>
        <v>0</v>
      </c>
    </row>
    <row r="116" spans="1:32" ht="22.2" thickTop="1" thickBot="1">
      <c r="A116" s="53" t="s">
        <v>201</v>
      </c>
      <c r="B116" s="36" t="s">
        <v>202</v>
      </c>
      <c r="C116" s="33"/>
      <c r="D116" s="33"/>
      <c r="E116" s="33"/>
      <c r="AA116">
        <f t="shared" si="32"/>
        <v>0</v>
      </c>
      <c r="AB116">
        <f t="shared" si="33"/>
        <v>0</v>
      </c>
      <c r="AC116">
        <f t="shared" si="34"/>
        <v>0</v>
      </c>
      <c r="AD116">
        <f t="shared" si="35"/>
        <v>0</v>
      </c>
    </row>
    <row r="117" spans="1:32" ht="37.200000000000003" thickTop="1" thickBot="1">
      <c r="A117" s="53" t="s">
        <v>203</v>
      </c>
      <c r="B117" s="36" t="s">
        <v>204</v>
      </c>
      <c r="C117" s="33"/>
      <c r="D117" s="33"/>
      <c r="E117" s="33"/>
      <c r="AA117">
        <f t="shared" si="32"/>
        <v>0</v>
      </c>
      <c r="AB117">
        <f t="shared" si="33"/>
        <v>0</v>
      </c>
      <c r="AC117">
        <f t="shared" si="34"/>
        <v>0</v>
      </c>
      <c r="AD117">
        <f t="shared" si="35"/>
        <v>0</v>
      </c>
    </row>
    <row r="118" spans="1:32" ht="69" customHeight="1" thickTop="1" thickBot="1">
      <c r="A118" s="30" t="s">
        <v>205</v>
      </c>
      <c r="B118" s="31" t="s">
        <v>206</v>
      </c>
      <c r="C118" s="23" t="s">
        <v>22</v>
      </c>
      <c r="D118" s="24"/>
      <c r="E118" s="25" t="str">
        <f>"Quotation: "&amp;ROUND((AE118/AF118)*100,2)&amp;"%"</f>
        <v>Quotation: 0%</v>
      </c>
      <c r="AE118">
        <f>SUM(AA119:AA125)+SUM(AB119:AB125)*0.5</f>
        <v>0</v>
      </c>
      <c r="AF118">
        <f>COUNT(AA119:AA125)-SUM(AD119:AD125)</f>
        <v>7</v>
      </c>
    </row>
    <row r="119" spans="1:32" ht="50.4" thickTop="1" thickBot="1">
      <c r="A119" s="53" t="s">
        <v>207</v>
      </c>
      <c r="B119" s="36" t="s">
        <v>208</v>
      </c>
      <c r="C119" s="33"/>
      <c r="D119" s="33"/>
      <c r="E119" s="33"/>
      <c r="AA119">
        <f t="shared" ref="AA119:AA125" si="36">IF(C119="Met",1,0)</f>
        <v>0</v>
      </c>
      <c r="AB119">
        <f t="shared" ref="AB119:AB125" si="37">IF(C119="Partially Met",1,0)</f>
        <v>0</v>
      </c>
      <c r="AC119">
        <f t="shared" ref="AC119:AC125" si="38">IF(C119="UnMet",1,0)</f>
        <v>0</v>
      </c>
      <c r="AD119">
        <f t="shared" ref="AD119:AD125" si="39">IF(C119="Not Applicable",1,0)</f>
        <v>0</v>
      </c>
    </row>
    <row r="120" spans="1:32" ht="39" customHeight="1" thickTop="1" thickBot="1">
      <c r="A120" s="53" t="s">
        <v>209</v>
      </c>
      <c r="B120" s="36" t="s">
        <v>210</v>
      </c>
      <c r="C120" s="33"/>
      <c r="D120" s="33"/>
      <c r="E120" s="33"/>
      <c r="AA120">
        <f t="shared" si="36"/>
        <v>0</v>
      </c>
      <c r="AB120">
        <f t="shared" si="37"/>
        <v>0</v>
      </c>
      <c r="AC120">
        <f t="shared" si="38"/>
        <v>0</v>
      </c>
      <c r="AD120">
        <f t="shared" si="39"/>
        <v>0</v>
      </c>
    </row>
    <row r="121" spans="1:32" ht="39.9" customHeight="1" thickTop="1" thickBot="1">
      <c r="A121" s="53" t="s">
        <v>211</v>
      </c>
      <c r="B121" s="36" t="s">
        <v>212</v>
      </c>
      <c r="C121" s="33"/>
      <c r="D121" s="33"/>
      <c r="E121" s="33"/>
      <c r="AA121">
        <f t="shared" si="36"/>
        <v>0</v>
      </c>
      <c r="AB121">
        <f t="shared" si="37"/>
        <v>0</v>
      </c>
      <c r="AC121">
        <f t="shared" si="38"/>
        <v>0</v>
      </c>
      <c r="AD121">
        <f t="shared" si="39"/>
        <v>0</v>
      </c>
    </row>
    <row r="122" spans="1:32" ht="45" customHeight="1" thickTop="1" thickBot="1">
      <c r="A122" s="53" t="s">
        <v>213</v>
      </c>
      <c r="B122" s="36" t="s">
        <v>214</v>
      </c>
      <c r="C122" s="33"/>
      <c r="D122" s="33"/>
      <c r="E122" s="33"/>
      <c r="AA122">
        <f t="shared" si="36"/>
        <v>0</v>
      </c>
      <c r="AB122">
        <f t="shared" si="37"/>
        <v>0</v>
      </c>
      <c r="AC122">
        <f t="shared" si="38"/>
        <v>0</v>
      </c>
      <c r="AD122">
        <f t="shared" si="39"/>
        <v>0</v>
      </c>
    </row>
    <row r="123" spans="1:32" ht="42" customHeight="1" thickTop="1" thickBot="1">
      <c r="A123" s="53" t="s">
        <v>215</v>
      </c>
      <c r="B123" s="36" t="s">
        <v>216</v>
      </c>
      <c r="C123" s="33"/>
      <c r="D123" s="33"/>
      <c r="E123" s="33"/>
      <c r="AA123">
        <f t="shared" si="36"/>
        <v>0</v>
      </c>
      <c r="AB123">
        <f t="shared" si="37"/>
        <v>0</v>
      </c>
      <c r="AC123">
        <f t="shared" si="38"/>
        <v>0</v>
      </c>
      <c r="AD123">
        <f t="shared" si="39"/>
        <v>0</v>
      </c>
    </row>
    <row r="124" spans="1:32" ht="43.5" customHeight="1" thickTop="1" thickBot="1">
      <c r="A124" s="53" t="s">
        <v>217</v>
      </c>
      <c r="B124" s="36" t="s">
        <v>218</v>
      </c>
      <c r="C124" s="33"/>
      <c r="D124" s="33"/>
      <c r="E124" s="33"/>
      <c r="AA124">
        <f t="shared" si="36"/>
        <v>0</v>
      </c>
      <c r="AB124">
        <f t="shared" si="37"/>
        <v>0</v>
      </c>
      <c r="AC124">
        <f t="shared" si="38"/>
        <v>0</v>
      </c>
      <c r="AD124">
        <f t="shared" si="39"/>
        <v>0</v>
      </c>
    </row>
    <row r="125" spans="1:32" ht="47.25" customHeight="1" thickTop="1" thickBot="1">
      <c r="A125" s="53" t="s">
        <v>219</v>
      </c>
      <c r="B125" s="36" t="s">
        <v>220</v>
      </c>
      <c r="C125" s="33"/>
      <c r="D125" s="33"/>
      <c r="E125" s="33"/>
      <c r="AA125">
        <f t="shared" si="36"/>
        <v>0</v>
      </c>
      <c r="AB125">
        <f t="shared" si="37"/>
        <v>0</v>
      </c>
      <c r="AC125">
        <f t="shared" si="38"/>
        <v>0</v>
      </c>
      <c r="AD125">
        <f t="shared" si="39"/>
        <v>0</v>
      </c>
    </row>
    <row r="126" spans="1:32" ht="59.25" customHeight="1" thickTop="1" thickBot="1">
      <c r="A126" s="30" t="s">
        <v>221</v>
      </c>
      <c r="B126" s="31" t="s">
        <v>222</v>
      </c>
      <c r="C126" s="23" t="s">
        <v>223</v>
      </c>
      <c r="D126" s="24"/>
      <c r="E126" s="25" t="str">
        <f>"Quotation: "&amp;ROUND((AE126/AF126)*100,2)&amp;"%"</f>
        <v>Quotation: 0%</v>
      </c>
      <c r="AE126">
        <f>SUM(AA127:AA132)+SUM(AB127:AB132)*0.5</f>
        <v>0</v>
      </c>
      <c r="AF126">
        <f>COUNT(AA127:AA132)-SUM(AD127:AD132)</f>
        <v>6</v>
      </c>
    </row>
    <row r="127" spans="1:32" ht="37.200000000000003" thickTop="1" thickBot="1">
      <c r="A127" s="32" t="s">
        <v>224</v>
      </c>
      <c r="B127" s="27" t="s">
        <v>225</v>
      </c>
      <c r="C127" s="33"/>
      <c r="D127" s="33"/>
      <c r="E127" s="33"/>
      <c r="AA127">
        <f t="shared" ref="AA127:AA132" si="40">IF(C127="Met",1,0)</f>
        <v>0</v>
      </c>
      <c r="AB127">
        <f t="shared" ref="AB127:AB132" si="41">IF(C127="Partially Met",1,0)</f>
        <v>0</v>
      </c>
      <c r="AC127">
        <f t="shared" ref="AC127:AC132" si="42">IF(C127="UnMet",1,0)</f>
        <v>0</v>
      </c>
      <c r="AD127">
        <f t="shared" ref="AD127:AD132" si="43">IF(C127="Not Applicable",1,0)</f>
        <v>0</v>
      </c>
    </row>
    <row r="128" spans="1:32" ht="22.2" thickTop="1" thickBot="1">
      <c r="A128" s="32" t="s">
        <v>226</v>
      </c>
      <c r="B128" s="27" t="s">
        <v>227</v>
      </c>
      <c r="C128" s="33"/>
      <c r="D128" s="33"/>
      <c r="E128" s="33"/>
      <c r="AA128">
        <f t="shared" si="40"/>
        <v>0</v>
      </c>
      <c r="AB128">
        <f t="shared" si="41"/>
        <v>0</v>
      </c>
      <c r="AC128">
        <f t="shared" si="42"/>
        <v>0</v>
      </c>
      <c r="AD128">
        <f t="shared" si="43"/>
        <v>0</v>
      </c>
    </row>
    <row r="129" spans="1:30" ht="37.200000000000003" thickTop="1" thickBot="1">
      <c r="A129" s="32" t="s">
        <v>228</v>
      </c>
      <c r="B129" s="27" t="s">
        <v>229</v>
      </c>
      <c r="C129" s="33"/>
      <c r="D129" s="33"/>
      <c r="E129" s="33"/>
      <c r="AA129">
        <f t="shared" si="40"/>
        <v>0</v>
      </c>
      <c r="AB129">
        <f t="shared" si="41"/>
        <v>0</v>
      </c>
      <c r="AC129">
        <f t="shared" si="42"/>
        <v>0</v>
      </c>
      <c r="AD129">
        <f t="shared" si="43"/>
        <v>0</v>
      </c>
    </row>
    <row r="130" spans="1:30" ht="26.1" customHeight="1" thickTop="1" thickBot="1">
      <c r="A130" s="32" t="s">
        <v>230</v>
      </c>
      <c r="B130" s="27" t="s">
        <v>231</v>
      </c>
      <c r="C130" s="33"/>
      <c r="D130" s="33"/>
      <c r="E130" s="33"/>
      <c r="AA130">
        <f t="shared" si="40"/>
        <v>0</v>
      </c>
      <c r="AB130">
        <f t="shared" si="41"/>
        <v>0</v>
      </c>
      <c r="AC130">
        <f t="shared" si="42"/>
        <v>0</v>
      </c>
      <c r="AD130">
        <f t="shared" si="43"/>
        <v>0</v>
      </c>
    </row>
    <row r="131" spans="1:30" ht="30.9" customHeight="1" thickTop="1" thickBot="1">
      <c r="A131" s="32" t="s">
        <v>232</v>
      </c>
      <c r="B131" s="27" t="s">
        <v>233</v>
      </c>
      <c r="C131" s="33"/>
      <c r="D131" s="33"/>
      <c r="E131" s="33"/>
      <c r="AA131">
        <f t="shared" si="40"/>
        <v>0</v>
      </c>
      <c r="AB131">
        <f t="shared" si="41"/>
        <v>0</v>
      </c>
      <c r="AC131">
        <f t="shared" si="42"/>
        <v>0</v>
      </c>
      <c r="AD131">
        <f t="shared" si="43"/>
        <v>0</v>
      </c>
    </row>
    <row r="132" spans="1:30" ht="30" customHeight="1" thickTop="1" thickBot="1">
      <c r="A132" s="32" t="s">
        <v>234</v>
      </c>
      <c r="B132" s="27" t="s">
        <v>235</v>
      </c>
      <c r="C132" s="33"/>
      <c r="D132" s="33"/>
      <c r="E132" s="33"/>
      <c r="AA132">
        <f t="shared" si="40"/>
        <v>0</v>
      </c>
      <c r="AB132">
        <f t="shared" si="41"/>
        <v>0</v>
      </c>
      <c r="AC132">
        <f t="shared" si="42"/>
        <v>0</v>
      </c>
      <c r="AD132">
        <f t="shared" si="43"/>
        <v>0</v>
      </c>
    </row>
    <row r="133" spans="1:30" ht="15" customHeight="1" thickTop="1"/>
    <row r="134" spans="1:30" ht="15.9" customHeight="1"/>
  </sheetData>
  <sheetProtection algorithmName="SHA-512" hashValue="bn5gD0yx966Opmbqwo1FOI3VxLvFiyuApn7nfb1BjngQlzd4f1LqpiUHVSez84T8kXXnL7MdB7hiPg2Z3WR3Zw==" saltValue="XBp6NsCbWBTxj8vMsylbpA==" spinCount="100000" sheet="1" objects="1" scenarios="1"/>
  <mergeCells count="27">
    <mergeCell ref="C88:D88"/>
    <mergeCell ref="C97:D97"/>
    <mergeCell ref="C108:D108"/>
    <mergeCell ref="C118:D118"/>
    <mergeCell ref="C126:D126"/>
    <mergeCell ref="C63:D63"/>
    <mergeCell ref="A65:A69"/>
    <mergeCell ref="C65:E65"/>
    <mergeCell ref="A70:A75"/>
    <mergeCell ref="C70:E70"/>
    <mergeCell ref="C79:D79"/>
    <mergeCell ref="C12:D12"/>
    <mergeCell ref="C20:D20"/>
    <mergeCell ref="C28:D28"/>
    <mergeCell ref="A29:A52"/>
    <mergeCell ref="C29:E29"/>
    <mergeCell ref="C30:E30"/>
    <mergeCell ref="C37:E37"/>
    <mergeCell ref="C41:E41"/>
    <mergeCell ref="C46:E46"/>
    <mergeCell ref="C48:E48"/>
    <mergeCell ref="A1:E1"/>
    <mergeCell ref="A2:E2"/>
    <mergeCell ref="A3:E3"/>
    <mergeCell ref="C4:E4"/>
    <mergeCell ref="A6:E6"/>
    <mergeCell ref="C7:D7"/>
  </mergeCells>
  <dataValidations count="1">
    <dataValidation type="list" showInputMessage="1" showErrorMessage="1" sqref="C8:C11 C13:C19 C21:C27 C31:C36 C38:C40 C42:C45 C47 C49:C62 C64 C66:C69 C71:C78 C80:C87 C89:C96 C98:C107 C109:C117 C119:C125 C127:C132">
      <formula1>"Met,Partially Met,UnMet,Not Applicable"</formula1>
    </dataValidation>
  </dataValidations>
  <pageMargins left="0.74803149606299202" right="0.74803149606299202" top="0.98425196850393704" bottom="0.98425196850393704" header="0.511811023622047" footer="0.511811023622047"/>
  <pageSetup scale="36" orientation="landscape" r:id="rId1"/>
  <rowBreaks count="5" manualBreakCount="5">
    <brk id="27" max="8" man="1"/>
    <brk id="62" max="5" man="1"/>
    <brk id="78" max="5" man="1"/>
    <brk id="96" max="5" man="1"/>
    <brk id="11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SMCS.2</vt:lpstr>
      <vt:lpstr>SMCS.2!_Toc87294429</vt:lpstr>
      <vt:lpstr>SMCS.2!_Toc87294430</vt:lpstr>
      <vt:lpstr>SMCS.2!Print_Area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Musa</dc:creator>
  <cp:lastModifiedBy>Ashraf Musa</cp:lastModifiedBy>
  <dcterms:created xsi:type="dcterms:W3CDTF">2025-08-22T13:37:50Z</dcterms:created>
  <dcterms:modified xsi:type="dcterms:W3CDTF">2025-08-22T13:37:50Z</dcterms:modified>
</cp:coreProperties>
</file>