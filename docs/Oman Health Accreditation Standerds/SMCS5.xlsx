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SAMEH\Downloads\"/>
    </mc:Choice>
  </mc:AlternateContent>
  <bookViews>
    <workbookView xWindow="0" yWindow="0" windowWidth="23040" windowHeight="8784"/>
  </bookViews>
  <sheets>
    <sheet name="SMCS5" sheetId="1" r:id="rId1"/>
  </sheets>
  <definedNames>
    <definedName name="_Toc45702476" localSheetId="0">SMCS5!#REF!</definedName>
    <definedName name="_Toc45702478" localSheetId="0">SMCS5!$B$37</definedName>
    <definedName name="_Toc45702479" localSheetId="0">SMCS5!#REF!</definedName>
    <definedName name="_Toc45702483" localSheetId="0">SMCS5!#REF!</definedName>
    <definedName name="_Toc45702486" localSheetId="0">SMCS5!#REF!</definedName>
    <definedName name="_Toc45702491" localSheetId="0">SMCS5!#REF!</definedName>
    <definedName name="_Toc45702492" localSheetId="0">SMCS5!#REF!</definedName>
    <definedName name="_Toc45702494" localSheetId="0">SMCS5!#REF!</definedName>
    <definedName name="_Toc45702495" localSheetId="0">SMCS5!#REF!</definedName>
    <definedName name="_Toc45702496" localSheetId="0">SMCS5!#REF!</definedName>
    <definedName name="_Toc45702498" localSheetId="0">SMCS5!#REF!</definedName>
    <definedName name="_Toc87294436" localSheetId="0">SMCS5!$A$7</definedName>
    <definedName name="_Toc87294437" localSheetId="0">SMCS5!$B$7</definedName>
    <definedName name="_Toc87294438" localSheetId="0">SMCS5!$A$15</definedName>
    <definedName name="_Toc87294439" localSheetId="0">SMCS5!$B$15</definedName>
    <definedName name="_Toc87294440" localSheetId="0">SMCS5!$A$121</definedName>
    <definedName name="_Toc87294441" localSheetId="0">SMCS5!$B$121</definedName>
    <definedName name="_Toc87294443" localSheetId="0">SMCS5!#REF!</definedName>
    <definedName name="_Toc87294444" localSheetId="0">SMCS5!#REF!</definedName>
    <definedName name="_Toc87295152" localSheetId="0">SMCS5!#REF!</definedName>
    <definedName name="_xlnm.Print_Area" localSheetId="0">SMCS5!$A$1:$F$152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50" i="1" l="1"/>
  <c r="AC150" i="1"/>
  <c r="AB150" i="1"/>
  <c r="AA150" i="1"/>
  <c r="AD149" i="1"/>
  <c r="AC149" i="1"/>
  <c r="AB149" i="1"/>
  <c r="AA149" i="1"/>
  <c r="AD148" i="1"/>
  <c r="AC148" i="1"/>
  <c r="AB148" i="1"/>
  <c r="AA148" i="1"/>
  <c r="AD147" i="1"/>
  <c r="AC147" i="1"/>
  <c r="AB147" i="1"/>
  <c r="AA147" i="1"/>
  <c r="AD146" i="1"/>
  <c r="AC146" i="1"/>
  <c r="AB146" i="1"/>
  <c r="AA146" i="1"/>
  <c r="AD145" i="1"/>
  <c r="AC145" i="1"/>
  <c r="AB145" i="1"/>
  <c r="AA145" i="1"/>
  <c r="AD144" i="1"/>
  <c r="AC144" i="1"/>
  <c r="AB144" i="1"/>
  <c r="AA144" i="1"/>
  <c r="AD143" i="1"/>
  <c r="AC143" i="1"/>
  <c r="AB143" i="1"/>
  <c r="AA143" i="1"/>
  <c r="AD142" i="1"/>
  <c r="AC142" i="1"/>
  <c r="AB142" i="1"/>
  <c r="AA142" i="1"/>
  <c r="AD141" i="1"/>
  <c r="AC141" i="1"/>
  <c r="AB141" i="1"/>
  <c r="AA141" i="1"/>
  <c r="AD140" i="1"/>
  <c r="AC140" i="1"/>
  <c r="AB140" i="1"/>
  <c r="AA140" i="1"/>
  <c r="AD139" i="1"/>
  <c r="AC139" i="1"/>
  <c r="AB139" i="1"/>
  <c r="AA139" i="1"/>
  <c r="AD138" i="1"/>
  <c r="AC138" i="1"/>
  <c r="AB138" i="1"/>
  <c r="AA138" i="1"/>
  <c r="AD137" i="1"/>
  <c r="AC137" i="1"/>
  <c r="AB137" i="1"/>
  <c r="AA137" i="1"/>
  <c r="AD136" i="1"/>
  <c r="AC136" i="1"/>
  <c r="AB136" i="1"/>
  <c r="AA136" i="1"/>
  <c r="AD134" i="1"/>
  <c r="AC134" i="1"/>
  <c r="AB134" i="1"/>
  <c r="AA134" i="1"/>
  <c r="AD133" i="1"/>
  <c r="AC133" i="1"/>
  <c r="AB133" i="1"/>
  <c r="AA133" i="1"/>
  <c r="AD132" i="1"/>
  <c r="AC132" i="1"/>
  <c r="AB132" i="1"/>
  <c r="AA132" i="1"/>
  <c r="AD131" i="1"/>
  <c r="AC131" i="1"/>
  <c r="AB131" i="1"/>
  <c r="AA131" i="1"/>
  <c r="AD130" i="1"/>
  <c r="AC130" i="1"/>
  <c r="AB130" i="1"/>
  <c r="AA130" i="1"/>
  <c r="AD128" i="1"/>
  <c r="AC128" i="1"/>
  <c r="AB128" i="1"/>
  <c r="AA128" i="1"/>
  <c r="AD127" i="1"/>
  <c r="AC127" i="1"/>
  <c r="AB127" i="1"/>
  <c r="AA127" i="1"/>
  <c r="AF126" i="1" s="1"/>
  <c r="AD125" i="1"/>
  <c r="AC125" i="1"/>
  <c r="AB125" i="1"/>
  <c r="AA125" i="1"/>
  <c r="AD124" i="1"/>
  <c r="AC124" i="1"/>
  <c r="AB124" i="1"/>
  <c r="AA124" i="1"/>
  <c r="AD123" i="1"/>
  <c r="AC123" i="1"/>
  <c r="AB123" i="1"/>
  <c r="AA123" i="1"/>
  <c r="AF121" i="1" s="1"/>
  <c r="AD122" i="1"/>
  <c r="AC122" i="1"/>
  <c r="AB122" i="1"/>
  <c r="AA122" i="1"/>
  <c r="AE121" i="1" s="1"/>
  <c r="E121" i="1" s="1"/>
  <c r="AD120" i="1"/>
  <c r="AC120" i="1"/>
  <c r="AB120" i="1"/>
  <c r="AA120" i="1"/>
  <c r="AD119" i="1"/>
  <c r="AC119" i="1"/>
  <c r="AB119" i="1"/>
  <c r="AA119" i="1"/>
  <c r="AD118" i="1"/>
  <c r="AC118" i="1"/>
  <c r="AB118" i="1"/>
  <c r="AA118" i="1"/>
  <c r="AD117" i="1"/>
  <c r="AC117" i="1"/>
  <c r="AB117" i="1"/>
  <c r="AA117" i="1"/>
  <c r="AD116" i="1"/>
  <c r="AC116" i="1"/>
  <c r="AB116" i="1"/>
  <c r="AA116" i="1"/>
  <c r="AD115" i="1"/>
  <c r="AC115" i="1"/>
  <c r="AB115" i="1"/>
  <c r="AA115" i="1"/>
  <c r="AD114" i="1"/>
  <c r="AC114" i="1"/>
  <c r="AB114" i="1"/>
  <c r="AA114" i="1"/>
  <c r="AD113" i="1"/>
  <c r="AC113" i="1"/>
  <c r="AB113" i="1"/>
  <c r="AA113" i="1"/>
  <c r="AD111" i="1"/>
  <c r="AC111" i="1"/>
  <c r="AB111" i="1"/>
  <c r="AA111" i="1"/>
  <c r="AD110" i="1"/>
  <c r="AC110" i="1"/>
  <c r="AB110" i="1"/>
  <c r="AA110" i="1"/>
  <c r="AD109" i="1"/>
  <c r="AC109" i="1"/>
  <c r="AB109" i="1"/>
  <c r="AA109" i="1"/>
  <c r="AD108" i="1"/>
  <c r="AC108" i="1"/>
  <c r="AB108" i="1"/>
  <c r="AA108" i="1"/>
  <c r="AD107" i="1"/>
  <c r="AC107" i="1"/>
  <c r="AB107" i="1"/>
  <c r="AA107" i="1"/>
  <c r="AD106" i="1"/>
  <c r="AC106" i="1"/>
  <c r="AB106" i="1"/>
  <c r="AA106" i="1"/>
  <c r="AD105" i="1"/>
  <c r="AC105" i="1"/>
  <c r="AB105" i="1"/>
  <c r="AA105" i="1"/>
  <c r="AD104" i="1"/>
  <c r="AC104" i="1"/>
  <c r="AB104" i="1"/>
  <c r="AA104" i="1"/>
  <c r="AD103" i="1"/>
  <c r="AC103" i="1"/>
  <c r="AB103" i="1"/>
  <c r="AA103" i="1"/>
  <c r="AD102" i="1"/>
  <c r="AC102" i="1"/>
  <c r="AB102" i="1"/>
  <c r="AA102" i="1"/>
  <c r="AD101" i="1"/>
  <c r="AC101" i="1"/>
  <c r="AB101" i="1"/>
  <c r="AA101" i="1"/>
  <c r="AD100" i="1"/>
  <c r="AC100" i="1"/>
  <c r="AB100" i="1"/>
  <c r="AA100" i="1"/>
  <c r="AD99" i="1"/>
  <c r="AC99" i="1"/>
  <c r="AB99" i="1"/>
  <c r="AA99" i="1"/>
  <c r="AD98" i="1"/>
  <c r="AC98" i="1"/>
  <c r="AB98" i="1"/>
  <c r="AA98" i="1"/>
  <c r="AD97" i="1"/>
  <c r="AC97" i="1"/>
  <c r="AB97" i="1"/>
  <c r="AA97" i="1"/>
  <c r="AD96" i="1"/>
  <c r="AC96" i="1"/>
  <c r="AB96" i="1"/>
  <c r="AA96" i="1"/>
  <c r="AF94" i="1"/>
  <c r="AE94" i="1"/>
  <c r="E94" i="1" s="1"/>
  <c r="AD93" i="1"/>
  <c r="AC93" i="1"/>
  <c r="AB93" i="1"/>
  <c r="AA93" i="1"/>
  <c r="AD92" i="1"/>
  <c r="AC92" i="1"/>
  <c r="AB92" i="1"/>
  <c r="AA92" i="1"/>
  <c r="AD91" i="1"/>
  <c r="AC91" i="1"/>
  <c r="AB91" i="1"/>
  <c r="AA91" i="1"/>
  <c r="AD90" i="1"/>
  <c r="AC90" i="1"/>
  <c r="AB90" i="1"/>
  <c r="AA90" i="1"/>
  <c r="AE89" i="1" s="1"/>
  <c r="E89" i="1" s="1"/>
  <c r="AF89" i="1"/>
  <c r="AD88" i="1"/>
  <c r="AC88" i="1"/>
  <c r="AB88" i="1"/>
  <c r="AA88" i="1"/>
  <c r="AD87" i="1"/>
  <c r="AC87" i="1"/>
  <c r="AB87" i="1"/>
  <c r="AA87" i="1"/>
  <c r="AD86" i="1"/>
  <c r="AC86" i="1"/>
  <c r="AB86" i="1"/>
  <c r="AA86" i="1"/>
  <c r="AD85" i="1"/>
  <c r="AC85" i="1"/>
  <c r="AB85" i="1"/>
  <c r="AA85" i="1"/>
  <c r="AD84" i="1"/>
  <c r="AC84" i="1"/>
  <c r="AB84" i="1"/>
  <c r="AA84" i="1"/>
  <c r="AD83" i="1"/>
  <c r="AC83" i="1"/>
  <c r="AB83" i="1"/>
  <c r="AA83" i="1"/>
  <c r="AD82" i="1"/>
  <c r="AC82" i="1"/>
  <c r="AB82" i="1"/>
  <c r="AA82" i="1"/>
  <c r="AF81" i="1" s="1"/>
  <c r="AE81" i="1"/>
  <c r="E81" i="1" s="1"/>
  <c r="AD80" i="1"/>
  <c r="AC80" i="1"/>
  <c r="AB80" i="1"/>
  <c r="AA80" i="1"/>
  <c r="AD79" i="1"/>
  <c r="AC79" i="1"/>
  <c r="AB79" i="1"/>
  <c r="AA79" i="1"/>
  <c r="AD78" i="1"/>
  <c r="AC78" i="1"/>
  <c r="AB78" i="1"/>
  <c r="AA78" i="1"/>
  <c r="AD77" i="1"/>
  <c r="AC77" i="1"/>
  <c r="AB77" i="1"/>
  <c r="AA77" i="1"/>
  <c r="AD76" i="1"/>
  <c r="AC76" i="1"/>
  <c r="AB76" i="1"/>
  <c r="AA76" i="1"/>
  <c r="AD75" i="1"/>
  <c r="AC75" i="1"/>
  <c r="AB75" i="1"/>
  <c r="AA75" i="1"/>
  <c r="AD74" i="1"/>
  <c r="AC74" i="1"/>
  <c r="AB74" i="1"/>
  <c r="AA74" i="1"/>
  <c r="AE73" i="1" s="1"/>
  <c r="E73" i="1" s="1"/>
  <c r="AF73" i="1"/>
  <c r="AD72" i="1"/>
  <c r="AC72" i="1"/>
  <c r="AB72" i="1"/>
  <c r="AA72" i="1"/>
  <c r="AD71" i="1"/>
  <c r="AC71" i="1"/>
  <c r="AB71" i="1"/>
  <c r="AA71" i="1"/>
  <c r="AD70" i="1"/>
  <c r="AC70" i="1"/>
  <c r="AB70" i="1"/>
  <c r="AA70" i="1"/>
  <c r="AD69" i="1"/>
  <c r="AC69" i="1"/>
  <c r="AB69" i="1"/>
  <c r="AA69" i="1"/>
  <c r="AD68" i="1"/>
  <c r="AC68" i="1"/>
  <c r="AB68" i="1"/>
  <c r="AA68" i="1"/>
  <c r="AD67" i="1"/>
  <c r="AC67" i="1"/>
  <c r="AB67" i="1"/>
  <c r="AA67" i="1"/>
  <c r="AD66" i="1"/>
  <c r="AC66" i="1"/>
  <c r="AB66" i="1"/>
  <c r="AA66" i="1"/>
  <c r="AD65" i="1"/>
  <c r="AC65" i="1"/>
  <c r="AB65" i="1"/>
  <c r="AA65" i="1"/>
  <c r="AD64" i="1"/>
  <c r="AC64" i="1"/>
  <c r="AB64" i="1"/>
  <c r="AA64" i="1"/>
  <c r="AD63" i="1"/>
  <c r="AC63" i="1"/>
  <c r="AB63" i="1"/>
  <c r="AA63" i="1"/>
  <c r="AD62" i="1"/>
  <c r="AC62" i="1"/>
  <c r="AB62" i="1"/>
  <c r="AA62" i="1"/>
  <c r="AD61" i="1"/>
  <c r="AC61" i="1"/>
  <c r="AB61" i="1"/>
  <c r="AA61" i="1"/>
  <c r="AD60" i="1"/>
  <c r="AC60" i="1"/>
  <c r="AB60" i="1"/>
  <c r="AA60" i="1"/>
  <c r="AD59" i="1"/>
  <c r="AC59" i="1"/>
  <c r="AB59" i="1"/>
  <c r="AA59" i="1"/>
  <c r="AD58" i="1"/>
  <c r="AC58" i="1"/>
  <c r="AB58" i="1"/>
  <c r="AA58" i="1"/>
  <c r="AD57" i="1"/>
  <c r="AC57" i="1"/>
  <c r="AB57" i="1"/>
  <c r="AA57" i="1"/>
  <c r="AD55" i="1"/>
  <c r="AC55" i="1"/>
  <c r="AB55" i="1"/>
  <c r="AA55" i="1"/>
  <c r="AF54" i="1"/>
  <c r="AE54" i="1"/>
  <c r="E54" i="1" s="1"/>
  <c r="AD53" i="1"/>
  <c r="AC53" i="1"/>
  <c r="AB53" i="1"/>
  <c r="AA53" i="1"/>
  <c r="AD52" i="1"/>
  <c r="AC52" i="1"/>
  <c r="AB52" i="1"/>
  <c r="AA52" i="1"/>
  <c r="AD51" i="1"/>
  <c r="AC51" i="1"/>
  <c r="AB51" i="1"/>
  <c r="AA51" i="1"/>
  <c r="AD50" i="1"/>
  <c r="AC50" i="1"/>
  <c r="AB50" i="1"/>
  <c r="AA50" i="1"/>
  <c r="AD49" i="1"/>
  <c r="AC49" i="1"/>
  <c r="AB49" i="1"/>
  <c r="AA49" i="1"/>
  <c r="AD48" i="1"/>
  <c r="AC48" i="1"/>
  <c r="AB48" i="1"/>
  <c r="AA48" i="1"/>
  <c r="AD47" i="1"/>
  <c r="AC47" i="1"/>
  <c r="AB47" i="1"/>
  <c r="AA47" i="1"/>
  <c r="AD46" i="1"/>
  <c r="AC46" i="1"/>
  <c r="AB46" i="1"/>
  <c r="AA46" i="1"/>
  <c r="AD45" i="1"/>
  <c r="AC45" i="1"/>
  <c r="AB45" i="1"/>
  <c r="AA45" i="1"/>
  <c r="AD44" i="1"/>
  <c r="AC44" i="1"/>
  <c r="AB44" i="1"/>
  <c r="AE42" i="1" s="1"/>
  <c r="E42" i="1" s="1"/>
  <c r="AA44" i="1"/>
  <c r="AF42" i="1"/>
  <c r="AD41" i="1"/>
  <c r="AC41" i="1"/>
  <c r="AB41" i="1"/>
  <c r="AA41" i="1"/>
  <c r="AD40" i="1"/>
  <c r="AC40" i="1"/>
  <c r="AB40" i="1"/>
  <c r="AA40" i="1"/>
  <c r="AD39" i="1"/>
  <c r="AC39" i="1"/>
  <c r="AB39" i="1"/>
  <c r="AA39" i="1"/>
  <c r="AD38" i="1"/>
  <c r="AC38" i="1"/>
  <c r="AB38" i="1"/>
  <c r="AA38" i="1"/>
  <c r="AF37" i="1" s="1"/>
  <c r="AD36" i="1"/>
  <c r="AC36" i="1"/>
  <c r="AB36" i="1"/>
  <c r="AA36" i="1"/>
  <c r="AD35" i="1"/>
  <c r="AC35" i="1"/>
  <c r="AB35" i="1"/>
  <c r="AA35" i="1"/>
  <c r="AD34" i="1"/>
  <c r="AC34" i="1"/>
  <c r="AB34" i="1"/>
  <c r="AA34" i="1"/>
  <c r="AD33" i="1"/>
  <c r="AC33" i="1"/>
  <c r="AB33" i="1"/>
  <c r="AA33" i="1"/>
  <c r="AD32" i="1"/>
  <c r="AC32" i="1"/>
  <c r="AB32" i="1"/>
  <c r="AA32" i="1"/>
  <c r="AD31" i="1"/>
  <c r="AC31" i="1"/>
  <c r="AB31" i="1"/>
  <c r="AA31" i="1"/>
  <c r="AD30" i="1"/>
  <c r="AC30" i="1"/>
  <c r="AB30" i="1"/>
  <c r="AA30" i="1"/>
  <c r="AD29" i="1"/>
  <c r="AC29" i="1"/>
  <c r="AB29" i="1"/>
  <c r="AA29" i="1"/>
  <c r="AD28" i="1"/>
  <c r="AC28" i="1"/>
  <c r="AB28" i="1"/>
  <c r="AA28" i="1"/>
  <c r="AD27" i="1"/>
  <c r="AC27" i="1"/>
  <c r="AB27" i="1"/>
  <c r="AA27" i="1"/>
  <c r="AD26" i="1"/>
  <c r="AC26" i="1"/>
  <c r="AB26" i="1"/>
  <c r="AA26" i="1"/>
  <c r="AD25" i="1"/>
  <c r="AC25" i="1"/>
  <c r="AB25" i="1"/>
  <c r="AA25" i="1"/>
  <c r="AD24" i="1"/>
  <c r="AC24" i="1"/>
  <c r="AB24" i="1"/>
  <c r="AA24" i="1"/>
  <c r="AD23" i="1"/>
  <c r="AC23" i="1"/>
  <c r="AB23" i="1"/>
  <c r="AA23" i="1"/>
  <c r="AD22" i="1"/>
  <c r="AC22" i="1"/>
  <c r="AB22" i="1"/>
  <c r="AA22" i="1"/>
  <c r="AD21" i="1"/>
  <c r="AC21" i="1"/>
  <c r="AB21" i="1"/>
  <c r="AA21" i="1"/>
  <c r="AD20" i="1"/>
  <c r="AC20" i="1"/>
  <c r="AB20" i="1"/>
  <c r="AA20" i="1"/>
  <c r="AD19" i="1"/>
  <c r="AC19" i="1"/>
  <c r="AB19" i="1"/>
  <c r="AA19" i="1"/>
  <c r="AD18" i="1"/>
  <c r="AC18" i="1"/>
  <c r="AB18" i="1"/>
  <c r="AA18" i="1"/>
  <c r="AD17" i="1"/>
  <c r="AC17" i="1"/>
  <c r="AB17" i="1"/>
  <c r="AA17" i="1"/>
  <c r="AE15" i="1" s="1"/>
  <c r="AD14" i="1"/>
  <c r="AC14" i="1"/>
  <c r="AB14" i="1"/>
  <c r="AA14" i="1"/>
  <c r="AD13" i="1"/>
  <c r="AC13" i="1"/>
  <c r="AB13" i="1"/>
  <c r="AA13" i="1"/>
  <c r="AD12" i="1"/>
  <c r="AC12" i="1"/>
  <c r="AB12" i="1"/>
  <c r="AA12" i="1"/>
  <c r="AD11" i="1"/>
  <c r="AC11" i="1"/>
  <c r="AB11" i="1"/>
  <c r="AA11" i="1"/>
  <c r="AD10" i="1"/>
  <c r="AC10" i="1"/>
  <c r="AB10" i="1"/>
  <c r="AA10" i="1"/>
  <c r="AD9" i="1"/>
  <c r="AC9" i="1"/>
  <c r="AB9" i="1"/>
  <c r="AA9" i="1"/>
  <c r="AA4" i="1" s="1"/>
  <c r="C4" i="1" s="1"/>
  <c r="AD8" i="1"/>
  <c r="AC8" i="1"/>
  <c r="AB8" i="1"/>
  <c r="AA8" i="1"/>
  <c r="AF7" i="1"/>
  <c r="AB4" i="1"/>
  <c r="AE7" i="1" l="1"/>
  <c r="E7" i="1" s="1"/>
  <c r="AF15" i="1"/>
  <c r="E15" i="1" s="1"/>
  <c r="AE37" i="1"/>
  <c r="E37" i="1" s="1"/>
  <c r="AE126" i="1"/>
  <c r="E126" i="1" s="1"/>
</calcChain>
</file>

<file path=xl/sharedStrings.xml><?xml version="1.0" encoding="utf-8"?>
<sst xmlns="http://schemas.openxmlformats.org/spreadsheetml/2006/main" count="243" uniqueCount="240">
  <si>
    <t xml:space="preserve"> Quality Assurance Center </t>
  </si>
  <si>
    <t xml:space="preserve">Oman Healthcare Accrediation System </t>
  </si>
  <si>
    <t xml:space="preserve">Self Assessment Tool (SAT) </t>
  </si>
  <si>
    <t>Chapter 4</t>
  </si>
  <si>
    <t>Specialized Medical Care Services (SMCS)</t>
  </si>
  <si>
    <t>Conformity Level</t>
  </si>
  <si>
    <t xml:space="preserve">Evidence </t>
  </si>
  <si>
    <t xml:space="preserve">Comments </t>
  </si>
  <si>
    <t xml:space="preserve">Nursing </t>
  </si>
  <si>
    <t>SMCS.45</t>
  </si>
  <si>
    <t>The Nursing department maintains a current scope of practice for the Nursing department.</t>
  </si>
  <si>
    <t>Total Measures: 7</t>
  </si>
  <si>
    <t>SMCS.45.a</t>
  </si>
  <si>
    <t>There is a written scope of practice for each nursing specialty that is approved and signed by the director/ head of nursing and directorate of nursing Affairs.</t>
  </si>
  <si>
    <t>SMCS.45.b</t>
  </si>
  <si>
    <t xml:space="preserve">Each nursing specialty desired education, skills, knowledge and other requirement is defined in the scope of practice document. </t>
  </si>
  <si>
    <t>SMCS.45.c</t>
  </si>
  <si>
    <t xml:space="preserve">Each unit has a head nurse/nurse manager with the required nursing and managerial experience, and a clear scope of practice </t>
  </si>
  <si>
    <t>SMCS.45.d</t>
  </si>
  <si>
    <t xml:space="preserve">Each staff nurse’s specific responsibilities are defined in the current scope of practice. </t>
  </si>
  <si>
    <t>SMCS.45.e</t>
  </si>
  <si>
    <t xml:space="preserve">All nurses are aware about their scope of practice. </t>
  </si>
  <si>
    <t>SMCS.45.f</t>
  </si>
  <si>
    <t xml:space="preserve">Nursing staff are allocated according to skill level and appropriate qualifications and specialties. </t>
  </si>
  <si>
    <t>SMCS.45.g</t>
  </si>
  <si>
    <t>Nurse leaders conduct periodic review to ensure that nursing services are provided by registered nurses in accordance with their license and scope of practice.</t>
  </si>
  <si>
    <t>SMCS.46</t>
  </si>
  <si>
    <t>The nursing department has essential policies and procedures available, to guide the nursing practice.</t>
  </si>
  <si>
    <t>Total Measures: 20</t>
  </si>
  <si>
    <t>SMCS.46.a</t>
  </si>
  <si>
    <t>The nursing department has documented policies and procedures manuals for all activities of the nursing services that are approved and signed by nursing directors/ head of nursing, updated every three years.  These policies include but not limited to the following</t>
  </si>
  <si>
    <r>
      <rPr>
        <sz val="14"/>
        <rFont val="Symbol"/>
        <charset val="2"/>
      </rPr>
      <t>·</t>
    </r>
    <r>
      <rPr>
        <sz val="14"/>
        <rFont val="Times New Roman"/>
        <charset val="134"/>
      </rPr>
      <t>      Admission policy.</t>
    </r>
  </si>
  <si>
    <r>
      <rPr>
        <sz val="14"/>
        <rFont val="Symbol"/>
        <charset val="2"/>
      </rPr>
      <t>·</t>
    </r>
    <r>
      <rPr>
        <sz val="14"/>
        <rFont val="Times New Roman"/>
        <charset val="134"/>
      </rPr>
      <t xml:space="preserve">      Discharge policy. </t>
    </r>
  </si>
  <si>
    <r>
      <rPr>
        <sz val="14"/>
        <rFont val="Symbol"/>
        <charset val="2"/>
      </rPr>
      <t>·</t>
    </r>
    <r>
      <rPr>
        <sz val="14"/>
        <rFont val="Times New Roman"/>
        <charset val="134"/>
      </rPr>
      <t>      Patient transfer policy.</t>
    </r>
  </si>
  <si>
    <r>
      <rPr>
        <sz val="14"/>
        <rFont val="Symbol"/>
        <charset val="2"/>
      </rPr>
      <t>·</t>
    </r>
    <r>
      <rPr>
        <sz val="14"/>
        <rFont val="Times New Roman"/>
        <charset val="134"/>
      </rPr>
      <t>      Patients’ rights and responsibilities.</t>
    </r>
  </si>
  <si>
    <r>
      <rPr>
        <sz val="14"/>
        <rFont val="Symbol"/>
        <charset val="2"/>
      </rPr>
      <t>·</t>
    </r>
    <r>
      <rPr>
        <sz val="14"/>
        <rFont val="Times New Roman"/>
        <charset val="134"/>
      </rPr>
      <t>      Basic patient care (hygiene, skin care).</t>
    </r>
  </si>
  <si>
    <r>
      <rPr>
        <sz val="14"/>
        <rFont val="Symbol"/>
        <charset val="2"/>
      </rPr>
      <t>·</t>
    </r>
    <r>
      <rPr>
        <sz val="14"/>
        <rFont val="Times New Roman"/>
        <charset val="134"/>
      </rPr>
      <t xml:space="preserve">      Fall prevention and management policy. </t>
    </r>
  </si>
  <si>
    <r>
      <rPr>
        <sz val="14"/>
        <rFont val="Symbol"/>
        <charset val="2"/>
      </rPr>
      <t>·</t>
    </r>
    <r>
      <rPr>
        <sz val="14"/>
        <rFont val="Times New Roman"/>
        <charset val="134"/>
      </rPr>
      <t xml:space="preserve">      Pressure ulcer prevention and management policy. </t>
    </r>
  </si>
  <si>
    <r>
      <rPr>
        <sz val="14"/>
        <rFont val="Symbol"/>
        <charset val="2"/>
      </rPr>
      <t>·</t>
    </r>
    <r>
      <rPr>
        <sz val="14"/>
        <rFont val="Times New Roman"/>
        <charset val="134"/>
      </rPr>
      <t>      Safe drug administration policy.</t>
    </r>
  </si>
  <si>
    <r>
      <rPr>
        <sz val="14"/>
        <rFont val="Symbol"/>
        <charset val="2"/>
      </rPr>
      <t>·</t>
    </r>
    <r>
      <rPr>
        <sz val="14"/>
        <rFont val="Times New Roman"/>
        <charset val="134"/>
      </rPr>
      <t>      Intravenous care policy (drug administration, blood collection, IV  cannulation).</t>
    </r>
  </si>
  <si>
    <r>
      <rPr>
        <sz val="14"/>
        <rFont val="Symbol"/>
        <charset val="2"/>
      </rPr>
      <t>·</t>
    </r>
    <r>
      <rPr>
        <sz val="14"/>
        <rFont val="Times New Roman"/>
        <charset val="134"/>
      </rPr>
      <t>      Patient handover policy (SBAR).</t>
    </r>
  </si>
  <si>
    <r>
      <rPr>
        <sz val="14"/>
        <rFont val="Symbol"/>
        <charset val="2"/>
      </rPr>
      <t>·</t>
    </r>
    <r>
      <rPr>
        <sz val="14"/>
        <rFont val="Times New Roman"/>
        <charset val="134"/>
      </rPr>
      <t xml:space="preserve">      Pain management. </t>
    </r>
  </si>
  <si>
    <r>
      <rPr>
        <sz val="14"/>
        <rFont val="Symbol"/>
        <charset val="2"/>
      </rPr>
      <t>·</t>
    </r>
    <r>
      <rPr>
        <sz val="14"/>
        <rFont val="Times New Roman"/>
        <charset val="134"/>
      </rPr>
      <t xml:space="preserve">      Patient physical assessment. </t>
    </r>
  </si>
  <si>
    <r>
      <rPr>
        <sz val="14"/>
        <rFont val="Symbol"/>
        <charset val="2"/>
      </rPr>
      <t>·</t>
    </r>
    <r>
      <rPr>
        <sz val="14"/>
        <rFont val="Times New Roman"/>
        <charset val="134"/>
      </rPr>
      <t xml:space="preserve">      Infection control policies. </t>
    </r>
  </si>
  <si>
    <r>
      <rPr>
        <sz val="14"/>
        <rFont val="Symbol"/>
        <charset val="2"/>
      </rPr>
      <t>·</t>
    </r>
    <r>
      <rPr>
        <sz val="14"/>
        <rFont val="Times New Roman"/>
        <charset val="134"/>
      </rPr>
      <t xml:space="preserve">      Medication’s administration and monitoring  </t>
    </r>
  </si>
  <si>
    <r>
      <rPr>
        <sz val="14"/>
        <rFont val="Symbol"/>
        <charset val="2"/>
      </rPr>
      <t>·</t>
    </r>
    <r>
      <rPr>
        <sz val="14"/>
        <rFont val="Times New Roman"/>
        <charset val="134"/>
      </rPr>
      <t xml:space="preserve">      Control and narcotic drug management. </t>
    </r>
  </si>
  <si>
    <r>
      <rPr>
        <sz val="14"/>
        <rFont val="Symbol"/>
        <charset val="2"/>
      </rPr>
      <t>·</t>
    </r>
    <r>
      <rPr>
        <sz val="14"/>
        <rFont val="Times New Roman"/>
        <charset val="134"/>
      </rPr>
      <t xml:space="preserve">      Crush trolley policy. </t>
    </r>
  </si>
  <si>
    <r>
      <rPr>
        <sz val="14"/>
        <rFont val="Symbol"/>
        <charset val="2"/>
      </rPr>
      <t>·</t>
    </r>
    <r>
      <rPr>
        <sz val="14"/>
        <rFont val="Times New Roman"/>
        <charset val="134"/>
      </rPr>
      <t xml:space="preserve">      Any other policy according to institutional service needs. </t>
    </r>
  </si>
  <si>
    <t>SMCS.46.b</t>
  </si>
  <si>
    <t>Department nurse leaders ensure that the policies are available and current (updated within 3 years and approved by nursing director), and accessible to all nursing unit.</t>
  </si>
  <si>
    <t>SMCS.46.c</t>
  </si>
  <si>
    <t xml:space="preserve">All nurses are aware and oriented about the above listed policies.  </t>
  </si>
  <si>
    <t>SMCS.46.d</t>
  </si>
  <si>
    <t xml:space="preserve">The nursing department performs essential monitoring to assess compliance to the nursing policies. </t>
  </si>
  <si>
    <t>SMCS.47</t>
  </si>
  <si>
    <t xml:space="preserve">The nursing department maintains effective communication process among all levels of nursing. </t>
  </si>
  <si>
    <t>Total Measures:  4</t>
  </si>
  <si>
    <t>SMCS.47.a</t>
  </si>
  <si>
    <t xml:space="preserve">Nursing department has clear process directing nursing team on channels of communication among all levels. These guidelines are in alignments with the hospital communication processes. </t>
  </si>
  <si>
    <t>SMCS.47.b</t>
  </si>
  <si>
    <t>There is a regular nursing leaders/management meeting with meeting minutes.</t>
  </si>
  <si>
    <t>SMCS.47.c</t>
  </si>
  <si>
    <t>There is evidence of regular nursing department meetings, and it is reflected in the meeting minutes. The meeting minutes are shared with all nursing staff.</t>
  </si>
  <si>
    <t>SMCS.47.d</t>
  </si>
  <si>
    <t>The nursing team has a system to monitor and review the implementation of effective communication. This could be done through staff feedback, satisfaction survey etc.</t>
  </si>
  <si>
    <t xml:space="preserve">SMCS.48 </t>
  </si>
  <si>
    <t xml:space="preserve">The nursing department has updated Staff work schedule (roster) system. </t>
  </si>
  <si>
    <t>Total Measures:  10</t>
  </si>
  <si>
    <t>SMCS.48.a</t>
  </si>
  <si>
    <t xml:space="preserve">There is a detailed nursing scheduling policy that covers including </t>
  </si>
  <si>
    <t xml:space="preserve">1-    Number of productive and non-productive hours </t>
  </si>
  <si>
    <t>2-    Numbers and duration of shifts (8 hours- or 12 hours)</t>
  </si>
  <si>
    <t xml:space="preserve">3-    Assignment for on call if required </t>
  </si>
  <si>
    <t xml:space="preserve">4-    Training activities schedule </t>
  </si>
  <si>
    <t xml:space="preserve">5-    Annual leave schedule </t>
  </si>
  <si>
    <t>6-    Method for approving change of schedule</t>
  </si>
  <si>
    <t>7-    Participations in activities, like committees, meeting, etc.</t>
  </si>
  <si>
    <t>SMCS.48.b</t>
  </si>
  <si>
    <t xml:space="preserve">All nursing units have work schedule updated as per the institution policy, displayed to all unit staff </t>
  </si>
  <si>
    <t>SMCS.48.c</t>
  </si>
  <si>
    <t>There is a proper skill mix staffing for each shift as per unit needs.</t>
  </si>
  <si>
    <t>SMCS.48.d</t>
  </si>
  <si>
    <t xml:space="preserve">The nursing department leaders conduct regular audit to monitor the compliance to the policy. </t>
  </si>
  <si>
    <t xml:space="preserve">SMCS. 49 </t>
  </si>
  <si>
    <t xml:space="preserve">The nursing department maintains comprehensive nursing assessment and care plan for each patient. </t>
  </si>
  <si>
    <t>Total Measures:  17</t>
  </si>
  <si>
    <t>SMCS.49.a</t>
  </si>
  <si>
    <t xml:space="preserve">The nursing department has clear written policy to guide the nursing care plan process. </t>
  </si>
  <si>
    <t>SMCS.49.b</t>
  </si>
  <si>
    <t xml:space="preserve">There is comprehensive nursing assessment conducted for each patient upon admission, which identifies nursing care needs for each patient using standardized assessments tools, includes: </t>
  </si>
  <si>
    <t>1- Current and history of patient complaints</t>
  </si>
  <si>
    <t>2- Current physical and psychological status.</t>
  </si>
  <si>
    <t xml:space="preserve">3- fall risk score </t>
  </si>
  <si>
    <t>4- Pain assessment</t>
  </si>
  <si>
    <t>5- Drug allergies,</t>
  </si>
  <si>
    <t>6- Skin assessment</t>
  </si>
  <si>
    <t>7-Nutritional status.</t>
  </si>
  <si>
    <t xml:space="preserve">8- Discharge planning  </t>
  </si>
  <si>
    <t>9- Physical assessments</t>
  </si>
  <si>
    <t xml:space="preserve">10- Obstetric history </t>
  </si>
  <si>
    <t>SMCS.49.c</t>
  </si>
  <si>
    <t xml:space="preserve">There is an individualized documented nursing care plan developed for each patient according to nursing assessment, which is consistent with the medical plan. </t>
  </si>
  <si>
    <t>SMCS.49.d</t>
  </si>
  <si>
    <t>Patients with specific needs (elderly, bedridden, handicapped, etc.) are assessed for level of activity/ dependency.</t>
  </si>
  <si>
    <t>SMCS.49.e</t>
  </si>
  <si>
    <t>Patient fundamental of care needs is planned, and provided according to their needs.  E.g., feeding, drinking, mobilization, pain, skincare, hygiene.</t>
  </si>
  <si>
    <t>SMCS.49.f</t>
  </si>
  <si>
    <t xml:space="preserve">The nursing staff perform reassessment and review the nursing care plan every shift, or upon any changes in patients’ condition and change in treatment. </t>
  </si>
  <si>
    <t>SMCS.49.g</t>
  </si>
  <si>
    <t xml:space="preserve">The nursing assessment and plan of care is documented in patients’ medical file. </t>
  </si>
  <si>
    <t>SMCS.49.h</t>
  </si>
  <si>
    <t xml:space="preserve">There is a regular monitoring process to ensure patients’ care plans are implemented and documented as per the policy. </t>
  </si>
  <si>
    <t>SMCS.50</t>
  </si>
  <si>
    <t xml:space="preserve">
The hospital implements a process for effective identification, and management of patients who are at falling risk (CSS).
</t>
  </si>
  <si>
    <t>Total Measures:  7</t>
  </si>
  <si>
    <t>SMCS.50.a</t>
  </si>
  <si>
    <t xml:space="preserve">The hospital has a clear policy for effective identification, assessment, and management of  patient at risk of fall, and management of patients after fall incidence. </t>
  </si>
  <si>
    <t>SMCS.50.b</t>
  </si>
  <si>
    <t>All concerned staff are oriented on the fall prevention policy and the assessment tool .</t>
  </si>
  <si>
    <t>SMCS.50.c</t>
  </si>
  <si>
    <t>Hospital leaders ensure that resources are available for implementation of fall prevention policy.</t>
  </si>
  <si>
    <t>SMCS.50.d</t>
  </si>
  <si>
    <t>Nursing team follow fall risk assessment for all patients at the point of access to determine their risk for falling across the hospital premises, when patient move from one unit to another, when patients’ condition changes, using validated fall risk assessment tool .</t>
  </si>
  <si>
    <t>SMCS.50.e</t>
  </si>
  <si>
    <t>Interventions for fall prevention are implemented based on assessment score.</t>
  </si>
  <si>
    <t>SMCS.50.f</t>
  </si>
  <si>
    <t>Patient assessment and interventions, patient and family teaching are documented on patient electronic record and communicated among nursing team and other healthcare providers.</t>
  </si>
  <si>
    <t>SMCS.50.g</t>
  </si>
  <si>
    <t>Departments’ heads conduct regular audits to assess compliance to the fall prevention policy and related scales.</t>
  </si>
  <si>
    <t>SMCS.51</t>
  </si>
  <si>
    <t>The hospital implements a process for effective identification and management of patients who are at risk for pressure ulcers (CSS).</t>
  </si>
  <si>
    <t>SMCS.51.a</t>
  </si>
  <si>
    <t xml:space="preserve">The hospital has written policies and procedures to guide proper identification, assessment, and management of patients at risk develop a pressure ulcer. </t>
  </si>
  <si>
    <t>SMCS.51. b</t>
  </si>
  <si>
    <t>Nurses are all oriented on the pressure ulcer prevention and management policy and the assessment tool.</t>
  </si>
  <si>
    <t>SMCS.51. c</t>
  </si>
  <si>
    <t>Hospital and nursing leaders ensure that resources are available for implementation of the pressure ulcer prevention policy.</t>
  </si>
  <si>
    <t>SMCS.51. d</t>
  </si>
  <si>
    <t xml:space="preserve">Nurses conduct an initial pressure ulcer risk assessment to all patients on admission using a validated, risk assessment tool, and then reassessment thereafter as per the policy. </t>
  </si>
  <si>
    <t>SMCS.51. e</t>
  </si>
  <si>
    <t xml:space="preserve">Nurses apply Interventions for pressure ulcer prevention based on risk assessment score. This includes positioning schedule with skin inspection, use of pressure relieving devices, nutritional requirement, pain management, continence management, etc. </t>
  </si>
  <si>
    <t>SMCS.51.f</t>
  </si>
  <si>
    <t>SMCS.51.g</t>
  </si>
  <si>
    <r>
      <rPr>
        <sz val="14"/>
        <color theme="1"/>
        <rFont val="Times New Roman"/>
        <charset val="134"/>
      </rPr>
      <t xml:space="preserve">The is </t>
    </r>
    <r>
      <rPr>
        <sz val="14"/>
        <color rgb="FF000000"/>
        <rFont val="Times New Roman"/>
        <charset val="134"/>
      </rPr>
      <t xml:space="preserve">regular audit </t>
    </r>
    <r>
      <rPr>
        <sz val="14"/>
        <color theme="1"/>
        <rFont val="Times New Roman"/>
        <charset val="134"/>
      </rPr>
      <t>to assess compliance with the pressure ulcer prevention and management policy and related scales.</t>
    </r>
  </si>
  <si>
    <t>SMCS.52</t>
  </si>
  <si>
    <t xml:space="preserve">Nursing team implements and maintains a standrdized nursing documentation process for every patient. </t>
  </si>
  <si>
    <t>Total Measures: 4</t>
  </si>
  <si>
    <t>SMCS.52.a</t>
  </si>
  <si>
    <t xml:space="preserve">The nursing department has a comprehensive nursing documentation policy (assessment, treatment and response to treatment, the use of one approved language for documentation, etc.  </t>
  </si>
  <si>
    <t>SMCS.52.b</t>
  </si>
  <si>
    <t>The nursing department conducts structured training program on nursing documentation.</t>
  </si>
  <si>
    <t>SMCS.52.c</t>
  </si>
  <si>
    <t>All nurses are oriented about any updates on nursing documentation.</t>
  </si>
  <si>
    <t>SMCS.52.d</t>
  </si>
  <si>
    <t>The hospital follows a regular system to monitor the implementation of the nursing documentation. The audit focuses on the timeliness, completeness, and legibility of nurses’ documentation.</t>
  </si>
  <si>
    <t>SMCS.53</t>
  </si>
  <si>
    <t>The Hospital has a process in using restraints safely.</t>
  </si>
  <si>
    <t>Total Measures: 16</t>
  </si>
  <si>
    <t>SMCS.53.a</t>
  </si>
  <si>
    <r>
      <rPr>
        <sz val="14"/>
        <color theme="1"/>
        <rFont val="Times New Roman"/>
        <charset val="134"/>
      </rPr>
      <t>The hospital implements policies and procedures that guide the care of patients on restraints,</t>
    </r>
    <r>
      <rPr>
        <b/>
        <sz val="14"/>
        <color theme="1"/>
        <rFont val="Times New Roman"/>
        <charset val="134"/>
      </rPr>
      <t xml:space="preserve"> </t>
    </r>
    <r>
      <rPr>
        <sz val="14"/>
        <color theme="1"/>
        <rFont val="Times New Roman"/>
        <charset val="134"/>
      </rPr>
      <t xml:space="preserve">which clearly explains: </t>
    </r>
  </si>
  <si>
    <r>
      <rPr>
        <sz val="14"/>
        <rFont val="Symbol"/>
        <charset val="2"/>
      </rPr>
      <t>·</t>
    </r>
    <r>
      <rPr>
        <sz val="14"/>
        <rFont val="Times New Roman"/>
        <charset val="134"/>
      </rPr>
      <t>      Indications, circumstances /conditions in which restraints is permitted</t>
    </r>
  </si>
  <si>
    <r>
      <rPr>
        <sz val="14"/>
        <rFont val="Symbol"/>
        <charset val="2"/>
      </rPr>
      <t>·</t>
    </r>
    <r>
      <rPr>
        <sz val="14"/>
        <rFont val="Times New Roman"/>
        <charset val="134"/>
      </rPr>
      <t xml:space="preserve">      Criteria of patient who are on need for any type of restraints, </t>
    </r>
  </si>
  <si>
    <r>
      <rPr>
        <sz val="14"/>
        <rFont val="Symbol"/>
        <charset val="2"/>
      </rPr>
      <t>·</t>
    </r>
    <r>
      <rPr>
        <sz val="14"/>
        <rFont val="Times New Roman"/>
        <charset val="134"/>
      </rPr>
      <t xml:space="preserve">      Who authorizes the use of restraints, </t>
    </r>
  </si>
  <si>
    <r>
      <rPr>
        <sz val="14"/>
        <rFont val="Symbol"/>
        <charset val="2"/>
      </rPr>
      <t>·</t>
    </r>
    <r>
      <rPr>
        <sz val="14"/>
        <rFont val="Times New Roman"/>
        <charset val="134"/>
      </rPr>
      <t xml:space="preserve">      Type of restrains, </t>
    </r>
  </si>
  <si>
    <r>
      <rPr>
        <sz val="14"/>
        <rFont val="Symbol"/>
        <charset val="2"/>
      </rPr>
      <t>·</t>
    </r>
    <r>
      <rPr>
        <sz val="14"/>
        <rFont val="Times New Roman"/>
        <charset val="134"/>
      </rPr>
      <t xml:space="preserve">      Material used, </t>
    </r>
  </si>
  <si>
    <r>
      <rPr>
        <sz val="14"/>
        <rFont val="Symbol"/>
        <charset val="2"/>
      </rPr>
      <t>·</t>
    </r>
    <r>
      <rPr>
        <sz val="14"/>
        <rFont val="Times New Roman"/>
        <charset val="134"/>
      </rPr>
      <t xml:space="preserve">      Consent, </t>
    </r>
  </si>
  <si>
    <r>
      <rPr>
        <sz val="14"/>
        <rFont val="Symbol"/>
        <charset val="2"/>
      </rPr>
      <t>·</t>
    </r>
    <r>
      <rPr>
        <sz val="14"/>
        <rFont val="Times New Roman"/>
        <charset val="134"/>
      </rPr>
      <t xml:space="preserve">      Ethical and legal consideration, </t>
    </r>
  </si>
  <si>
    <r>
      <rPr>
        <sz val="14"/>
        <rFont val="Symbol"/>
        <charset val="2"/>
      </rPr>
      <t>·</t>
    </r>
    <r>
      <rPr>
        <sz val="14"/>
        <rFont val="Times New Roman"/>
        <charset val="134"/>
      </rPr>
      <t xml:space="preserve">      The frequency of monitoring patients on and documentation, </t>
    </r>
  </si>
  <si>
    <r>
      <rPr>
        <sz val="14"/>
        <rFont val="Symbol"/>
        <charset val="2"/>
      </rPr>
      <t>·</t>
    </r>
    <r>
      <rPr>
        <sz val="14"/>
        <rFont val="Times New Roman"/>
        <charset val="134"/>
      </rPr>
      <t xml:space="preserve">      Roles and responsibilities of staff,  </t>
    </r>
  </si>
  <si>
    <r>
      <rPr>
        <sz val="14"/>
        <rFont val="Symbol"/>
        <charset val="2"/>
      </rPr>
      <t>·</t>
    </r>
    <r>
      <rPr>
        <sz val="14"/>
        <rFont val="Times New Roman"/>
        <charset val="134"/>
      </rPr>
      <t xml:space="preserve">      Appropriate intervention when the patients’ circulation is being impaired, etc </t>
    </r>
  </si>
  <si>
    <t>SMCS.53.b</t>
  </si>
  <si>
    <t>Nursing department leaders ensure that nursing staff are trained and competent on the use of restraints.</t>
  </si>
  <si>
    <t>SMCS.53.c</t>
  </si>
  <si>
    <t>The restraints are only applied with an order by treating physician who clearly orders with restrain type to use, the time limits the restraints will be used.</t>
  </si>
  <si>
    <t>SMCS.53.d</t>
  </si>
  <si>
    <t xml:space="preserve">The restraints order is renewed every 24 hours. </t>
  </si>
  <si>
    <t>SMCS.53.e</t>
  </si>
  <si>
    <t xml:space="preserve">The nurses preserve and protect patient’s dignity during the use of restraints. </t>
  </si>
  <si>
    <t>SMCS.53.f</t>
  </si>
  <si>
    <t xml:space="preserve">Nurses conduct assessment prior restraints application, reassessment during the restraints usage until restraints is removed. Patient is assessed frequently (at least hourly and as required). </t>
  </si>
  <si>
    <t>SMCS.53.g</t>
  </si>
  <si>
    <t xml:space="preserve">The team ensures to inform and involve the patient/ or family the decision of applying restraints. </t>
  </si>
  <si>
    <t>SMCS.53.h</t>
  </si>
  <si>
    <t xml:space="preserve">Nurses documents all assessment, reassessment, orders, actions and interventions appropriately in patient electronic records.  Nursing documentation include the following </t>
  </si>
  <si>
    <t>·      Event leading to the need of restrain</t>
  </si>
  <si>
    <t>·      Purpose of the restrain</t>
  </si>
  <si>
    <t>·      Clinical justification for length of time</t>
  </si>
  <si>
    <t>·      Methods of restrain</t>
  </si>
  <si>
    <t>·      Location of the restrain</t>
  </si>
  <si>
    <t>·      Time (applied and released)</t>
  </si>
  <si>
    <r>
      <rPr>
        <sz val="20"/>
        <rFont val="Calibri Light"/>
        <charset val="134"/>
        <scheme val="major"/>
      </rPr>
      <t>·  </t>
    </r>
    <r>
      <rPr>
        <sz val="14"/>
        <rFont val="Calibri Light"/>
        <charset val="134"/>
        <scheme val="major"/>
      </rPr>
      <t xml:space="preserve"> Family/ patient involvement in the decision of applying restraints.  </t>
    </r>
  </si>
  <si>
    <t>SMCS.53.i</t>
  </si>
  <si>
    <t>The nurse leaders conduct audits to monitor the safe implementation of and compliance toward the restrains policy.</t>
  </si>
  <si>
    <t>SMCS.54</t>
  </si>
  <si>
    <t>The nursing department implements various approaches to enhance Rest and Comfort to patients while receiving the health care service</t>
  </si>
  <si>
    <t>SMCS.54.a</t>
  </si>
  <si>
    <t>The nursing department implements and maintains various mechanisms to enhance rest and comfort for the patient.</t>
  </si>
  <si>
    <t>SMCS.54.b</t>
  </si>
  <si>
    <t xml:space="preserve">Each department nurse leader ensures that nurses are oriented on the best strategies to maintain patient rest and comfort. </t>
  </si>
  <si>
    <t>SMCS.54.c</t>
  </si>
  <si>
    <t xml:space="preserve">Patients with specific needs are assessed regularly to meet their needs.   </t>
  </si>
  <si>
    <t>SMCS.54.d</t>
  </si>
  <si>
    <t xml:space="preserve">There is a process to monitor the application of patient rest and comfort measures, and patients are assessed regularly. </t>
  </si>
  <si>
    <t>SMCS.55</t>
  </si>
  <si>
    <t>The nursing department leaders implement various approaches to maintain  competency of nursing staff.</t>
  </si>
  <si>
    <t>Total Measures: 22</t>
  </si>
  <si>
    <t>SMCS.55.a</t>
  </si>
  <si>
    <t xml:space="preserve">The nursing department has a structured orientation program for all new nursing staff that is in alignment with the hospital orientation program, with a general orientation checklist. </t>
  </si>
  <si>
    <t>SMCS.55.b</t>
  </si>
  <si>
    <t>The nursing department follow a structured approach to promote the competency of nursing staff in various specialties, including nursing clinical education and update programs for each specialty, mandatory training as per specialty, continuous monitoring, through clinical competency, etc.</t>
  </si>
  <si>
    <t>SMCS. 55.c</t>
  </si>
  <si>
    <t xml:space="preserve">The nursing team follows hospital mandatory training programs covering but is not limited to: </t>
  </si>
  <si>
    <t>BLS/ ACLS certification and recertification (every 2 years), equipment training, pain management (once a time), IV drug calculation and IV cannulation (every 2 years), Disaster plan, Fire safety and evacuation plan, Blood and blood product handling, occupational hazards, Patient Safety, any competencies as per specialty assignment</t>
  </si>
  <si>
    <t>SMCS. 55.d</t>
  </si>
  <si>
    <t xml:space="preserve">Staff training records and certificates are maintained in staff files. </t>
  </si>
  <si>
    <t>SMCS. 55.e</t>
  </si>
  <si>
    <t>There is evidence of assessing staff competency on the practice related to listed courses.</t>
  </si>
  <si>
    <t>SMCS.55.f</t>
  </si>
  <si>
    <t>Each Nursing unit has specific competency assessment tools to monitor staff performance in the unit procedures.</t>
  </si>
  <si>
    <t>SMCS.55.g</t>
  </si>
  <si>
    <t xml:space="preserve">Nursing competencies are assessed and monitored regularly as per specialty and institutional needs, using different methods such as competency checklist, demonstration, written tests, feedback form supervisors and peers, etc.  </t>
  </si>
  <si>
    <t>SMCS.55.h</t>
  </si>
  <si>
    <t xml:space="preserve">Assessment of nursing competencies includes but not is not limited to: </t>
  </si>
  <si>
    <r>
      <rPr>
        <sz val="14"/>
        <rFont val="Symbol"/>
        <charset val="2"/>
      </rPr>
      <t>·</t>
    </r>
    <r>
      <rPr>
        <sz val="14"/>
        <rFont val="Times New Roman"/>
        <charset val="134"/>
      </rPr>
      <t>      Professionalism, and compliance to code of conduct and ethics elements,</t>
    </r>
  </si>
  <si>
    <r>
      <rPr>
        <sz val="14"/>
        <rFont val="Symbol"/>
        <charset val="2"/>
      </rPr>
      <t>·</t>
    </r>
    <r>
      <rPr>
        <sz val="14"/>
        <rFont val="Times New Roman"/>
        <charset val="134"/>
      </rPr>
      <t xml:space="preserve">      Medication administration, </t>
    </r>
  </si>
  <si>
    <r>
      <rPr>
        <sz val="14"/>
        <rFont val="Symbol"/>
        <charset val="2"/>
      </rPr>
      <t>·</t>
    </r>
    <r>
      <rPr>
        <sz val="14"/>
        <rFont val="Times New Roman"/>
        <charset val="134"/>
      </rPr>
      <t xml:space="preserve">      Safe use of patient restraints, </t>
    </r>
  </si>
  <si>
    <r>
      <rPr>
        <sz val="14"/>
        <rFont val="Symbol"/>
        <charset val="2"/>
      </rPr>
      <t>·</t>
    </r>
    <r>
      <rPr>
        <sz val="14"/>
        <rFont val="Times New Roman"/>
        <charset val="134"/>
      </rPr>
      <t xml:space="preserve">      Iv therapy, infection control guidelines, </t>
    </r>
  </si>
  <si>
    <r>
      <rPr>
        <sz val="14"/>
        <rFont val="Symbol"/>
        <charset val="2"/>
      </rPr>
      <t>·</t>
    </r>
    <r>
      <rPr>
        <sz val="14"/>
        <rFont val="Times New Roman"/>
        <charset val="134"/>
      </rPr>
      <t xml:space="preserve">      Fall prevention, </t>
    </r>
  </si>
  <si>
    <r>
      <rPr>
        <sz val="14"/>
        <rFont val="Symbol"/>
        <charset val="2"/>
      </rPr>
      <t>·</t>
    </r>
    <r>
      <rPr>
        <sz val="14"/>
        <rFont val="Times New Roman"/>
        <charset val="134"/>
      </rPr>
      <t xml:space="preserve">      Skin care and pressure ulcer prevention strategies, </t>
    </r>
  </si>
  <si>
    <r>
      <rPr>
        <sz val="14"/>
        <rFont val="Symbol"/>
        <charset val="2"/>
      </rPr>
      <t>·</t>
    </r>
    <r>
      <rPr>
        <sz val="14"/>
        <rFont val="Times New Roman"/>
        <charset val="134"/>
      </rPr>
      <t xml:space="preserve">      Cardiopulmonary resuscitation skills, </t>
    </r>
  </si>
  <si>
    <r>
      <rPr>
        <sz val="14"/>
        <rFont val="Symbol"/>
        <charset val="2"/>
      </rPr>
      <t>·</t>
    </r>
    <r>
      <rPr>
        <sz val="14"/>
        <rFont val="Times New Roman"/>
        <charset val="134"/>
      </rPr>
      <t xml:space="preserve">      Nurses’ role in disaster, </t>
    </r>
  </si>
  <si>
    <r>
      <rPr>
        <sz val="14"/>
        <rFont val="Symbol"/>
        <charset val="2"/>
      </rPr>
      <t>·</t>
    </r>
    <r>
      <rPr>
        <sz val="14"/>
        <rFont val="Times New Roman"/>
        <charset val="134"/>
      </rPr>
      <t xml:space="preserve">      Emergency and fire drill, </t>
    </r>
  </si>
  <si>
    <r>
      <rPr>
        <sz val="14"/>
        <rFont val="Symbol"/>
        <charset val="2"/>
      </rPr>
      <t>·</t>
    </r>
    <r>
      <rPr>
        <sz val="14"/>
        <rFont val="Times New Roman"/>
        <charset val="134"/>
      </rPr>
      <t xml:space="preserve">      Managing blood and blood products. </t>
    </r>
  </si>
  <si>
    <r>
      <rPr>
        <sz val="14"/>
        <rFont val="Symbol"/>
        <charset val="2"/>
      </rPr>
      <t>·</t>
    </r>
    <r>
      <rPr>
        <sz val="14"/>
        <rFont val="Times New Roman"/>
        <charset val="134"/>
      </rPr>
      <t xml:space="preserve">      Safe surgical practice </t>
    </r>
  </si>
  <si>
    <t xml:space="preserve">•      Pain management. </t>
  </si>
  <si>
    <r>
      <rPr>
        <sz val="14"/>
        <rFont val="Symbol"/>
        <charset val="2"/>
      </rPr>
      <t>·</t>
    </r>
    <r>
      <rPr>
        <sz val="14"/>
        <rFont val="Times New Roman"/>
        <charset val="134"/>
      </rPr>
      <t xml:space="preserve">      All other competencies as scope of service </t>
    </r>
  </si>
  <si>
    <t>SMCS.55.i</t>
  </si>
  <si>
    <t>The staff progress report and any actions taken are documented in the staff files.</t>
  </si>
  <si>
    <t>SMCS.55.j</t>
  </si>
  <si>
    <t xml:space="preserve">There is a regular follow up from nursing leadership to assess effective monitoring of staff competence.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</si>
</sst>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2"/>
      <color theme="1"/>
      <name val="Calibri"/>
      <charset val="134"/>
      <scheme val="minor"/>
    </font>
    <font>
      <b/>
      <sz val="16"/>
      <color rgb="FF000000"/>
      <name val="Times New Roman"/>
      <charset val="134"/>
    </font>
    <font>
      <sz val="12"/>
      <color rgb="FF000000"/>
      <name val="Calibri"/>
      <charset val="134"/>
      <scheme val="minor"/>
    </font>
    <font>
      <b/>
      <sz val="22"/>
      <color rgb="FF000000"/>
      <name val="Times New Roman"/>
      <charset val="134"/>
    </font>
    <font>
      <sz val="11"/>
      <color rgb="FF9C6500"/>
      <name val="Calibri"/>
      <charset val="134"/>
      <scheme val="minor"/>
    </font>
    <font>
      <b/>
      <sz val="22"/>
      <color rgb="FFC00000"/>
      <name val="Times New Roman"/>
      <charset val="134"/>
    </font>
    <font>
      <b/>
      <sz val="14"/>
      <name val="Times New Roman"/>
      <charset val="134"/>
    </font>
    <font>
      <b/>
      <sz val="12"/>
      <color rgb="FF000000"/>
      <name val="Times New Roman"/>
      <charset val="134"/>
    </font>
    <font>
      <b/>
      <sz val="14"/>
      <color rgb="FF000000"/>
      <name val="Times New Roman"/>
      <charset val="134"/>
    </font>
    <font>
      <b/>
      <sz val="16"/>
      <color theme="1"/>
      <name val="Times New Roman"/>
      <charset val="134"/>
    </font>
    <font>
      <b/>
      <sz val="14"/>
      <color theme="1"/>
      <name val="Times New Roman"/>
      <charset val="134"/>
    </font>
    <font>
      <sz val="14"/>
      <name val="Times New Roman"/>
      <charset val="134"/>
    </font>
    <font>
      <sz val="16"/>
      <color theme="1"/>
      <name val="Calibri"/>
      <charset val="134"/>
      <scheme val="minor"/>
    </font>
    <font>
      <sz val="14"/>
      <name val="Symbol"/>
      <charset val="2"/>
    </font>
    <font>
      <sz val="14"/>
      <color theme="1"/>
      <name val="Times New Roman"/>
      <charset val="134"/>
    </font>
    <font>
      <sz val="16"/>
      <color theme="1"/>
      <name val="Times New Roman"/>
      <charset val="134"/>
    </font>
    <font>
      <sz val="14"/>
      <color rgb="FF000000"/>
      <name val="Times New Roman"/>
      <charset val="134"/>
    </font>
    <font>
      <sz val="14"/>
      <name val="Calibri Light"/>
      <charset val="134"/>
      <scheme val="major"/>
    </font>
    <font>
      <sz val="20"/>
      <name val="Calibri Light"/>
      <charset val="134"/>
      <scheme val="major"/>
    </font>
    <font>
      <sz val="16"/>
      <name val="Calibri Light"/>
      <charset val="134"/>
      <scheme val="major"/>
    </font>
  </fonts>
  <fills count="15">
    <fill>
      <patternFill patternType="none"/>
    </fill>
    <fill>
      <patternFill patternType="gray125"/>
    </fill>
    <fill>
      <patternFill patternType="solid">
        <fgColor rgb="FFE4DFEC"/>
        <bgColor rgb="FF000000"/>
      </patternFill>
    </fill>
    <fill>
      <patternFill patternType="solid">
        <fgColor rgb="FFDDD9C4"/>
        <bgColor rgb="FF000000"/>
      </patternFill>
    </fill>
    <fill>
      <patternFill patternType="solid">
        <fgColor rgb="FFF2F2F2"/>
        <bgColor rgb="FF000000"/>
      </patternFill>
    </fill>
    <fill>
      <patternFill patternType="solid">
        <fgColor rgb="FFFFEB9C"/>
        <bgColor indexed="64"/>
      </patternFill>
    </fill>
    <fill>
      <patternFill patternType="solid">
        <fgColor rgb="FFCCFFCC"/>
        <bgColor indexed="64"/>
      </patternFill>
    </fill>
    <fill>
      <patternFill patternType="solid">
        <fgColor rgb="FFF79646"/>
        <bgColor rgb="FF000000"/>
      </patternFill>
    </fill>
    <fill>
      <patternFill patternType="solid">
        <fgColor rgb="FFFFFF00"/>
        <bgColor indexed="64"/>
      </patternFill>
    </fill>
    <fill>
      <patternFill patternType="solid">
        <fgColor theme="4" tint="0.59999389629810485"/>
        <bgColor indexed="64"/>
      </patternFill>
    </fill>
    <fill>
      <patternFill patternType="solid">
        <fgColor theme="9" tint="0.79995117038483843"/>
        <bgColor indexed="64"/>
      </patternFill>
    </fill>
    <fill>
      <patternFill patternType="solid">
        <fgColor rgb="FFFFFFFF"/>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249977111117893"/>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ck">
        <color auto="1"/>
      </bottom>
      <diagonal/>
    </border>
    <border>
      <left/>
      <right/>
      <top style="thin">
        <color auto="1"/>
      </top>
      <bottom style="thick">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style="thick">
        <color auto="1"/>
      </top>
      <bottom/>
      <diagonal/>
    </border>
  </borders>
  <cellStyleXfs count="2">
    <xf numFmtId="0" fontId="0" fillId="0" borderId="0"/>
    <xf numFmtId="0" fontId="4" fillId="5" borderId="0" applyNumberFormat="0" applyBorder="0" applyAlignment="0" applyProtection="0"/>
  </cellStyleXfs>
  <cellXfs count="69">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2" fillId="4" borderId="4" xfId="0" applyFont="1" applyFill="1" applyBorder="1"/>
    <xf numFmtId="0" fontId="3" fillId="4" borderId="5" xfId="0" applyFont="1" applyFill="1" applyBorder="1" applyAlignment="1">
      <alignment horizontal="center" vertical="center"/>
    </xf>
    <xf numFmtId="0" fontId="5" fillId="5" borderId="6" xfId="1" applyFont="1" applyBorder="1" applyAlignment="1">
      <alignment horizontal="center" vertical="center"/>
    </xf>
    <xf numFmtId="0" fontId="5" fillId="5" borderId="5" xfId="1" applyFont="1" applyBorder="1" applyAlignment="1">
      <alignment horizontal="center" vertical="center"/>
    </xf>
    <xf numFmtId="0" fontId="5" fillId="5" borderId="7" xfId="1" applyFont="1" applyBorder="1" applyAlignment="1">
      <alignment horizontal="center" vertical="center"/>
    </xf>
    <xf numFmtId="0" fontId="6" fillId="6" borderId="8" xfId="0" applyFont="1" applyFill="1" applyBorder="1" applyAlignment="1">
      <alignment horizontal="center" vertical="center"/>
    </xf>
    <xf numFmtId="0" fontId="6" fillId="6" borderId="8" xfId="0" applyFont="1" applyFill="1" applyBorder="1" applyAlignment="1">
      <alignment vertical="center"/>
    </xf>
    <xf numFmtId="0" fontId="7" fillId="7" borderId="8" xfId="0" applyFont="1" applyFill="1" applyBorder="1" applyAlignment="1">
      <alignment horizontal="center" vertical="center"/>
    </xf>
    <xf numFmtId="0" fontId="8" fillId="7" borderId="8" xfId="0" applyFont="1" applyFill="1" applyBorder="1" applyAlignment="1">
      <alignment horizontal="center" vertical="center"/>
    </xf>
    <xf numFmtId="0" fontId="9" fillId="8" borderId="9"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6" fillId="9" borderId="8" xfId="0" applyFont="1" applyFill="1" applyBorder="1" applyAlignment="1">
      <alignment vertical="center" wrapText="1"/>
    </xf>
    <xf numFmtId="0" fontId="6" fillId="9" borderId="12" xfId="0" applyFont="1" applyFill="1" applyBorder="1" applyAlignment="1">
      <alignment vertical="center" wrapText="1"/>
    </xf>
    <xf numFmtId="0" fontId="10" fillId="9" borderId="9" xfId="0" applyFont="1" applyFill="1" applyBorder="1" applyAlignment="1">
      <alignment horizontal="left" vertical="center"/>
    </xf>
    <xf numFmtId="0" fontId="10" fillId="9" borderId="11" xfId="0" applyFont="1" applyFill="1" applyBorder="1" applyAlignment="1">
      <alignment horizontal="left" vertical="center"/>
    </xf>
    <xf numFmtId="0" fontId="10" fillId="9" borderId="13" xfId="0" applyFont="1" applyFill="1" applyBorder="1" applyAlignment="1">
      <alignment horizontal="left" vertical="center"/>
    </xf>
    <xf numFmtId="0" fontId="10" fillId="10" borderId="8" xfId="0" applyFont="1" applyFill="1" applyBorder="1" applyAlignment="1">
      <alignment vertical="center" wrapText="1"/>
    </xf>
    <xf numFmtId="0" fontId="11" fillId="11" borderId="8" xfId="0" applyFont="1" applyFill="1" applyBorder="1" applyAlignment="1">
      <alignment vertical="center" wrapText="1"/>
    </xf>
    <xf numFmtId="0" fontId="12" fillId="0" borderId="8" xfId="0" applyFont="1" applyBorder="1" applyProtection="1">
      <protection locked="0"/>
    </xf>
    <xf numFmtId="0" fontId="0" fillId="0" borderId="8" xfId="0" applyBorder="1" applyProtection="1">
      <protection locked="0"/>
    </xf>
    <xf numFmtId="0" fontId="6" fillId="9" borderId="8" xfId="0" applyFont="1" applyFill="1" applyBorder="1" applyAlignment="1">
      <alignment horizontal="left" vertical="center" wrapText="1"/>
    </xf>
    <xf numFmtId="0" fontId="10" fillId="10" borderId="8" xfId="0" applyFont="1" applyFill="1" applyBorder="1" applyAlignment="1">
      <alignment vertical="center" wrapText="1"/>
    </xf>
    <xf numFmtId="0" fontId="11" fillId="12" borderId="8" xfId="0" applyFont="1" applyFill="1" applyBorder="1" applyAlignment="1">
      <alignment vertical="center" wrapText="1"/>
    </xf>
    <xf numFmtId="0" fontId="12" fillId="12" borderId="9" xfId="0" applyFont="1" applyFill="1" applyBorder="1" applyAlignment="1">
      <alignment horizontal="center"/>
    </xf>
    <xf numFmtId="0" fontId="12" fillId="12" borderId="10" xfId="0" applyFont="1" applyFill="1" applyBorder="1" applyAlignment="1">
      <alignment horizontal="center"/>
    </xf>
    <xf numFmtId="0" fontId="12" fillId="12" borderId="11" xfId="0" applyFont="1" applyFill="1" applyBorder="1" applyAlignment="1">
      <alignment horizontal="center"/>
    </xf>
    <xf numFmtId="0" fontId="13" fillId="11" borderId="8" xfId="0" applyFont="1" applyFill="1" applyBorder="1" applyAlignment="1">
      <alignment horizontal="left" vertical="center" wrapText="1" indent="3"/>
    </xf>
    <xf numFmtId="0" fontId="14" fillId="11" borderId="8" xfId="0" applyFont="1" applyFill="1" applyBorder="1" applyAlignment="1">
      <alignment vertical="center" wrapText="1"/>
    </xf>
    <xf numFmtId="0" fontId="10" fillId="9" borderId="12" xfId="0" applyFont="1" applyFill="1" applyBorder="1" applyAlignment="1">
      <alignment vertical="center" wrapText="1"/>
    </xf>
    <xf numFmtId="0" fontId="10" fillId="9" borderId="8" xfId="0" applyFont="1" applyFill="1" applyBorder="1" applyAlignment="1">
      <alignment horizontal="left" vertical="center" wrapText="1"/>
    </xf>
    <xf numFmtId="0" fontId="14" fillId="12" borderId="8" xfId="0" applyFont="1" applyFill="1" applyBorder="1" applyAlignment="1">
      <alignment vertical="center" wrapText="1"/>
    </xf>
    <xf numFmtId="0" fontId="11" fillId="0" borderId="8" xfId="0" applyFont="1" applyBorder="1" applyAlignment="1">
      <alignment horizontal="left" vertical="center" wrapText="1" indent="1"/>
    </xf>
    <xf numFmtId="0" fontId="14" fillId="11" borderId="14" xfId="0" applyFont="1" applyFill="1" applyBorder="1" applyAlignment="1">
      <alignment vertical="center" wrapText="1"/>
    </xf>
    <xf numFmtId="0" fontId="12" fillId="0" borderId="12" xfId="0" applyFont="1" applyBorder="1" applyAlignment="1" applyProtection="1">
      <alignment horizontal="center"/>
      <protection locked="0"/>
    </xf>
    <xf numFmtId="0" fontId="15" fillId="0" borderId="8" xfId="0" applyFont="1" applyBorder="1" applyProtection="1">
      <protection locked="0"/>
    </xf>
    <xf numFmtId="0" fontId="10" fillId="13" borderId="12" xfId="0" applyFont="1" applyFill="1" applyBorder="1" applyAlignment="1">
      <alignment vertical="center" wrapText="1"/>
    </xf>
    <xf numFmtId="0" fontId="6" fillId="14" borderId="12" xfId="0" applyFont="1" applyFill="1" applyBorder="1" applyAlignment="1">
      <alignment vertical="center" wrapText="1"/>
    </xf>
    <xf numFmtId="0" fontId="10" fillId="14" borderId="9" xfId="0" applyFont="1" applyFill="1" applyBorder="1" applyAlignment="1">
      <alignment horizontal="left" vertical="center"/>
    </xf>
    <xf numFmtId="0" fontId="10" fillId="14" borderId="11" xfId="0" applyFont="1" applyFill="1" applyBorder="1" applyAlignment="1">
      <alignment horizontal="left" vertical="center"/>
    </xf>
    <xf numFmtId="0" fontId="10" fillId="14" borderId="13" xfId="0" applyFont="1" applyFill="1" applyBorder="1" applyAlignment="1">
      <alignment horizontal="left" vertical="center"/>
    </xf>
    <xf numFmtId="0" fontId="6" fillId="9" borderId="12" xfId="0" applyFont="1" applyFill="1" applyBorder="1" applyAlignment="1">
      <alignment horizontal="justify" vertical="center" wrapText="1"/>
    </xf>
    <xf numFmtId="0" fontId="13" fillId="11" borderId="8" xfId="0" applyFont="1" applyFill="1" applyBorder="1" applyAlignment="1">
      <alignment horizontal="left" vertical="center" wrapText="1" indent="1"/>
    </xf>
    <xf numFmtId="0" fontId="11" fillId="11" borderId="8" xfId="0" applyFont="1" applyFill="1" applyBorder="1" applyAlignment="1">
      <alignment horizontal="justify" vertical="center" wrapText="1"/>
    </xf>
    <xf numFmtId="0" fontId="17" fillId="11" borderId="8" xfId="0" applyFont="1" applyFill="1" applyBorder="1" applyAlignment="1">
      <alignment horizontal="justify" vertical="center" wrapText="1"/>
    </xf>
    <xf numFmtId="0" fontId="17" fillId="11" borderId="14" xfId="0" applyFont="1" applyFill="1" applyBorder="1" applyAlignment="1">
      <alignment horizontal="justify" vertical="center" wrapText="1"/>
    </xf>
    <xf numFmtId="0" fontId="17" fillId="12" borderId="8" xfId="0" applyFont="1" applyFill="1" applyBorder="1" applyAlignment="1">
      <alignment horizontal="justify" vertical="center" wrapText="1"/>
    </xf>
    <xf numFmtId="0" fontId="17" fillId="11" borderId="8" xfId="0" applyFont="1" applyFill="1" applyBorder="1" applyAlignment="1">
      <alignment horizontal="left" vertical="center" wrapText="1" indent="1"/>
    </xf>
    <xf numFmtId="0" fontId="10" fillId="9" borderId="12" xfId="0" applyFont="1" applyFill="1" applyBorder="1" applyAlignment="1">
      <alignment horizontal="left" vertical="center" wrapText="1"/>
    </xf>
    <xf numFmtId="0" fontId="10" fillId="10" borderId="15" xfId="0" applyFont="1" applyFill="1" applyBorder="1" applyAlignment="1">
      <alignment vertical="center" wrapText="1"/>
    </xf>
    <xf numFmtId="0" fontId="12" fillId="0" borderId="13" xfId="0" applyFont="1" applyBorder="1" applyProtection="1">
      <protection locked="0"/>
    </xf>
    <xf numFmtId="0" fontId="12" fillId="0" borderId="12" xfId="0" applyFont="1" applyBorder="1" applyProtection="1">
      <protection locked="0"/>
    </xf>
    <xf numFmtId="0" fontId="10" fillId="10" borderId="9" xfId="0" applyFont="1" applyFill="1" applyBorder="1" applyAlignment="1">
      <alignment vertical="center" wrapText="1"/>
    </xf>
    <xf numFmtId="0" fontId="14" fillId="0" borderId="8" xfId="0" applyFont="1" applyBorder="1" applyAlignment="1">
      <alignment horizontal="left" wrapText="1"/>
    </xf>
    <xf numFmtId="0" fontId="12" fillId="0" borderId="11" xfId="0" applyFont="1" applyBorder="1" applyProtection="1">
      <protection locked="0"/>
    </xf>
    <xf numFmtId="0" fontId="10" fillId="10" borderId="9" xfId="0" applyFont="1" applyFill="1" applyBorder="1" applyAlignment="1">
      <alignment vertical="center" wrapText="1"/>
    </xf>
    <xf numFmtId="0" fontId="14" fillId="12" borderId="8" xfId="0" applyFont="1" applyFill="1" applyBorder="1" applyAlignment="1">
      <alignment horizontal="justify" vertical="center"/>
    </xf>
    <xf numFmtId="0" fontId="14" fillId="0" borderId="8" xfId="0" applyFont="1" applyBorder="1" applyAlignment="1">
      <alignment horizontal="justify" vertical="center"/>
    </xf>
    <xf numFmtId="0" fontId="19" fillId="11" borderId="8" xfId="0" applyFont="1" applyFill="1" applyBorder="1" applyAlignment="1">
      <alignment horizontal="left" vertical="center" wrapText="1" indent="3"/>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F152"/>
  <sheetViews>
    <sheetView tabSelected="1" topLeftCell="A132" zoomScale="98" zoomScaleNormal="98" workbookViewId="0">
      <selection activeCell="C150" sqref="C150"/>
    </sheetView>
  </sheetViews>
  <sheetFormatPr defaultColWidth="11" defaultRowHeight="15.6"/>
  <cols>
    <col min="1" max="1" width="19.3984375" customWidth="1"/>
    <col min="2" max="2" width="71.8984375" customWidth="1"/>
    <col min="3" max="3" width="17.3984375" customWidth="1"/>
    <col min="4" max="5" width="70.59765625" customWidth="1"/>
  </cols>
  <sheetData>
    <row r="1" spans="1:32" ht="36" customHeight="1">
      <c r="A1" s="1" t="s">
        <v>0</v>
      </c>
      <c r="B1" s="2"/>
      <c r="C1" s="2"/>
      <c r="D1" s="2"/>
      <c r="E1" s="3"/>
    </row>
    <row r="2" spans="1:32" ht="30.75" customHeight="1">
      <c r="A2" s="4" t="s">
        <v>1</v>
      </c>
      <c r="B2" s="5"/>
      <c r="C2" s="5"/>
      <c r="D2" s="5"/>
      <c r="E2" s="6"/>
    </row>
    <row r="3" spans="1:32" ht="33.9" customHeight="1">
      <c r="A3" s="7" t="s">
        <v>2</v>
      </c>
      <c r="B3" s="8"/>
      <c r="C3" s="8"/>
      <c r="D3" s="8"/>
      <c r="E3" s="9"/>
    </row>
    <row r="4" spans="1:32" ht="28.2" thickBot="1">
      <c r="A4" s="10"/>
      <c r="B4" s="11"/>
      <c r="C4" s="12" t="str">
        <f>"Total Score: "&amp;ROUND((AA4/AB4)*100,2)&amp;"%"</f>
        <v>Total Score: 0%</v>
      </c>
      <c r="D4" s="13"/>
      <c r="E4" s="14"/>
      <c r="AA4">
        <f>SUM(AA7:AA150)+SUM(AB7:AB150)*0.5</f>
        <v>0</v>
      </c>
      <c r="AB4">
        <f>COUNT(AA7:AA150)-SUM(AB7:AD150)</f>
        <v>126</v>
      </c>
    </row>
    <row r="5" spans="1:32" ht="52.5" customHeight="1" thickTop="1" thickBot="1">
      <c r="A5" s="15" t="s">
        <v>3</v>
      </c>
      <c r="B5" s="16" t="s">
        <v>4</v>
      </c>
      <c r="C5" s="17" t="s">
        <v>5</v>
      </c>
      <c r="D5" s="18" t="s">
        <v>6</v>
      </c>
      <c r="E5" s="18" t="s">
        <v>7</v>
      </c>
    </row>
    <row r="6" spans="1:32" ht="38.1" customHeight="1" thickTop="1" thickBot="1">
      <c r="A6" s="19" t="s">
        <v>8</v>
      </c>
      <c r="B6" s="20"/>
      <c r="C6" s="20"/>
      <c r="D6" s="20"/>
      <c r="E6" s="21"/>
    </row>
    <row r="7" spans="1:32" ht="78.75" customHeight="1" thickTop="1" thickBot="1">
      <c r="A7" s="22" t="s">
        <v>9</v>
      </c>
      <c r="B7" s="23" t="s">
        <v>10</v>
      </c>
      <c r="C7" s="24" t="s">
        <v>11</v>
      </c>
      <c r="D7" s="25"/>
      <c r="E7" s="26" t="str">
        <f>"Quotation: "&amp;ROUND((AE7/AF7)*100,2)&amp;"%"</f>
        <v>Quotation: 0%</v>
      </c>
      <c r="AE7">
        <f>SUM(AA8:AA14)+SUM(AB8:AB14)*0.5</f>
        <v>0</v>
      </c>
      <c r="AF7">
        <f>COUNT(AA8:AA14)-SUM(AD8:AD14)</f>
        <v>7</v>
      </c>
    </row>
    <row r="8" spans="1:32" ht="55.2" thickTop="1" thickBot="1">
      <c r="A8" s="27" t="s">
        <v>12</v>
      </c>
      <c r="B8" s="28" t="s">
        <v>13</v>
      </c>
      <c r="C8" s="29"/>
      <c r="D8" s="30"/>
      <c r="E8" s="30"/>
      <c r="AA8">
        <f t="shared" ref="AA8:AA14" si="0">IF(C8="Met",1,0)</f>
        <v>0</v>
      </c>
      <c r="AB8">
        <f t="shared" ref="AB8:AB14" si="1">IF(C8="Partially Met",1,0)</f>
        <v>0</v>
      </c>
      <c r="AC8">
        <f t="shared" ref="AC8:AC14" si="2">IF(C8="UnMet",1,0)</f>
        <v>0</v>
      </c>
      <c r="AD8">
        <f t="shared" ref="AD8:AD14" si="3">IF(C8="Not Applicable",1,0)</f>
        <v>0</v>
      </c>
    </row>
    <row r="9" spans="1:32" ht="37.200000000000003" thickTop="1" thickBot="1">
      <c r="A9" s="27" t="s">
        <v>14</v>
      </c>
      <c r="B9" s="28" t="s">
        <v>15</v>
      </c>
      <c r="C9" s="29"/>
      <c r="D9" s="30"/>
      <c r="E9" s="30"/>
      <c r="AA9">
        <f t="shared" si="0"/>
        <v>0</v>
      </c>
      <c r="AB9">
        <f t="shared" si="1"/>
        <v>0</v>
      </c>
      <c r="AC9">
        <f t="shared" si="2"/>
        <v>0</v>
      </c>
      <c r="AD9">
        <f t="shared" si="3"/>
        <v>0</v>
      </c>
    </row>
    <row r="10" spans="1:32" ht="37.200000000000003" thickTop="1" thickBot="1">
      <c r="A10" s="27" t="s">
        <v>16</v>
      </c>
      <c r="B10" s="28" t="s">
        <v>17</v>
      </c>
      <c r="C10" s="29"/>
      <c r="D10" s="30"/>
      <c r="E10" s="30"/>
      <c r="AA10">
        <f t="shared" si="0"/>
        <v>0</v>
      </c>
      <c r="AB10">
        <f t="shared" si="1"/>
        <v>0</v>
      </c>
      <c r="AC10">
        <f t="shared" si="2"/>
        <v>0</v>
      </c>
      <c r="AD10">
        <f t="shared" si="3"/>
        <v>0</v>
      </c>
    </row>
    <row r="11" spans="1:32" ht="37.200000000000003" thickTop="1" thickBot="1">
      <c r="A11" s="27" t="s">
        <v>18</v>
      </c>
      <c r="B11" s="28" t="s">
        <v>19</v>
      </c>
      <c r="C11" s="29"/>
      <c r="D11" s="30"/>
      <c r="E11" s="30"/>
      <c r="AA11">
        <f t="shared" si="0"/>
        <v>0</v>
      </c>
      <c r="AB11">
        <f t="shared" si="1"/>
        <v>0</v>
      </c>
      <c r="AC11">
        <f t="shared" si="2"/>
        <v>0</v>
      </c>
      <c r="AD11">
        <f t="shared" si="3"/>
        <v>0</v>
      </c>
    </row>
    <row r="12" spans="1:32" ht="22.2" thickTop="1" thickBot="1">
      <c r="A12" s="27" t="s">
        <v>20</v>
      </c>
      <c r="B12" s="28" t="s">
        <v>21</v>
      </c>
      <c r="C12" s="29"/>
      <c r="D12" s="30"/>
      <c r="E12" s="30"/>
      <c r="AA12">
        <f t="shared" si="0"/>
        <v>0</v>
      </c>
      <c r="AB12">
        <f t="shared" si="1"/>
        <v>0</v>
      </c>
      <c r="AC12">
        <f t="shared" si="2"/>
        <v>0</v>
      </c>
      <c r="AD12">
        <f t="shared" si="3"/>
        <v>0</v>
      </c>
    </row>
    <row r="13" spans="1:32" ht="37.200000000000003" thickTop="1" thickBot="1">
      <c r="A13" s="27" t="s">
        <v>22</v>
      </c>
      <c r="B13" s="28" t="s">
        <v>23</v>
      </c>
      <c r="C13" s="29"/>
      <c r="D13" s="30"/>
      <c r="E13" s="30"/>
      <c r="AA13">
        <f t="shared" si="0"/>
        <v>0</v>
      </c>
      <c r="AB13">
        <f t="shared" si="1"/>
        <v>0</v>
      </c>
      <c r="AC13">
        <f t="shared" si="2"/>
        <v>0</v>
      </c>
      <c r="AD13">
        <f t="shared" si="3"/>
        <v>0</v>
      </c>
    </row>
    <row r="14" spans="1:32" ht="55.2" thickTop="1" thickBot="1">
      <c r="A14" s="27" t="s">
        <v>24</v>
      </c>
      <c r="B14" s="28" t="s">
        <v>25</v>
      </c>
      <c r="C14" s="29"/>
      <c r="D14" s="30"/>
      <c r="E14" s="30"/>
      <c r="AA14">
        <f t="shared" si="0"/>
        <v>0</v>
      </c>
      <c r="AB14">
        <f t="shared" si="1"/>
        <v>0</v>
      </c>
      <c r="AC14">
        <f t="shared" si="2"/>
        <v>0</v>
      </c>
      <c r="AD14">
        <f t="shared" si="3"/>
        <v>0</v>
      </c>
    </row>
    <row r="15" spans="1:32" ht="54" customHeight="1" thickTop="1" thickBot="1">
      <c r="A15" s="23" t="s">
        <v>26</v>
      </c>
      <c r="B15" s="31" t="s">
        <v>27</v>
      </c>
      <c r="C15" s="24" t="s">
        <v>28</v>
      </c>
      <c r="D15" s="25"/>
      <c r="E15" s="26" t="str">
        <f>"Quotation: "&amp;ROUND((AE15/AF15)*100,2)&amp;"%"</f>
        <v>Quotation: 0%</v>
      </c>
      <c r="AE15">
        <f>SUM(AA16:AA36)+SUM(AB16:AB36)*0.5</f>
        <v>0</v>
      </c>
      <c r="AF15">
        <f>COUNT(AA16:AA36)-SUM(AD16:AD36)</f>
        <v>20</v>
      </c>
    </row>
    <row r="16" spans="1:32" ht="73.2" thickTop="1" thickBot="1">
      <c r="A16" s="32" t="s">
        <v>29</v>
      </c>
      <c r="B16" s="33" t="s">
        <v>30</v>
      </c>
      <c r="C16" s="34"/>
      <c r="D16" s="35"/>
      <c r="E16" s="36"/>
    </row>
    <row r="17" spans="1:30" ht="22.2" thickTop="1" thickBot="1">
      <c r="A17" s="32"/>
      <c r="B17" s="37" t="s">
        <v>31</v>
      </c>
      <c r="C17" s="29"/>
      <c r="D17" s="30"/>
      <c r="E17" s="30"/>
      <c r="AA17">
        <f t="shared" ref="AA17:AA36" si="4">IF(C17="Met",1,0)</f>
        <v>0</v>
      </c>
      <c r="AB17">
        <f t="shared" ref="AB17:AB36" si="5">IF(C17="Partially Met",1,0)</f>
        <v>0</v>
      </c>
      <c r="AC17">
        <f t="shared" ref="AC17:AC36" si="6">IF(C17="UnMet",1,0)</f>
        <v>0</v>
      </c>
      <c r="AD17">
        <f t="shared" ref="AD17:AD36" si="7">IF(C17="Not Applicable",1,0)</f>
        <v>0</v>
      </c>
    </row>
    <row r="18" spans="1:30" ht="22.2" thickTop="1" thickBot="1">
      <c r="A18" s="32"/>
      <c r="B18" s="37" t="s">
        <v>32</v>
      </c>
      <c r="C18" s="29"/>
      <c r="D18" s="30"/>
      <c r="E18" s="30"/>
      <c r="AA18">
        <f t="shared" si="4"/>
        <v>0</v>
      </c>
      <c r="AB18">
        <f t="shared" si="5"/>
        <v>0</v>
      </c>
      <c r="AC18">
        <f t="shared" si="6"/>
        <v>0</v>
      </c>
      <c r="AD18">
        <f t="shared" si="7"/>
        <v>0</v>
      </c>
    </row>
    <row r="19" spans="1:30" ht="22.2" thickTop="1" thickBot="1">
      <c r="A19" s="32"/>
      <c r="B19" s="37" t="s">
        <v>33</v>
      </c>
      <c r="C19" s="29"/>
      <c r="D19" s="30"/>
      <c r="E19" s="30"/>
      <c r="AA19">
        <f t="shared" si="4"/>
        <v>0</v>
      </c>
      <c r="AB19">
        <f t="shared" si="5"/>
        <v>0</v>
      </c>
      <c r="AC19">
        <f t="shared" si="6"/>
        <v>0</v>
      </c>
      <c r="AD19">
        <f t="shared" si="7"/>
        <v>0</v>
      </c>
    </row>
    <row r="20" spans="1:30" ht="22.2" thickTop="1" thickBot="1">
      <c r="A20" s="32"/>
      <c r="B20" s="37" t="s">
        <v>34</v>
      </c>
      <c r="C20" s="29"/>
      <c r="D20" s="30"/>
      <c r="E20" s="30"/>
      <c r="AA20">
        <f t="shared" si="4"/>
        <v>0</v>
      </c>
      <c r="AB20">
        <f t="shared" si="5"/>
        <v>0</v>
      </c>
      <c r="AC20">
        <f t="shared" si="6"/>
        <v>0</v>
      </c>
      <c r="AD20">
        <f t="shared" si="7"/>
        <v>0</v>
      </c>
    </row>
    <row r="21" spans="1:30" ht="22.2" thickTop="1" thickBot="1">
      <c r="A21" s="32"/>
      <c r="B21" s="37" t="s">
        <v>35</v>
      </c>
      <c r="C21" s="29"/>
      <c r="D21" s="30"/>
      <c r="E21" s="30"/>
      <c r="AA21">
        <f t="shared" si="4"/>
        <v>0</v>
      </c>
      <c r="AB21">
        <f t="shared" si="5"/>
        <v>0</v>
      </c>
      <c r="AC21">
        <f t="shared" si="6"/>
        <v>0</v>
      </c>
      <c r="AD21">
        <f t="shared" si="7"/>
        <v>0</v>
      </c>
    </row>
    <row r="22" spans="1:30" ht="22.2" thickTop="1" thickBot="1">
      <c r="A22" s="32"/>
      <c r="B22" s="37" t="s">
        <v>36</v>
      </c>
      <c r="C22" s="29"/>
      <c r="D22" s="30"/>
      <c r="E22" s="30"/>
      <c r="AA22">
        <f t="shared" si="4"/>
        <v>0</v>
      </c>
      <c r="AB22">
        <f t="shared" si="5"/>
        <v>0</v>
      </c>
      <c r="AC22">
        <f t="shared" si="6"/>
        <v>0</v>
      </c>
      <c r="AD22">
        <f t="shared" si="7"/>
        <v>0</v>
      </c>
    </row>
    <row r="23" spans="1:30" ht="22.2" thickTop="1" thickBot="1">
      <c r="A23" s="32"/>
      <c r="B23" s="37" t="s">
        <v>37</v>
      </c>
      <c r="C23" s="29"/>
      <c r="D23" s="30"/>
      <c r="E23" s="30"/>
      <c r="AA23">
        <f t="shared" si="4"/>
        <v>0</v>
      </c>
      <c r="AB23">
        <f t="shared" si="5"/>
        <v>0</v>
      </c>
      <c r="AC23">
        <f t="shared" si="6"/>
        <v>0</v>
      </c>
      <c r="AD23">
        <f t="shared" si="7"/>
        <v>0</v>
      </c>
    </row>
    <row r="24" spans="1:30" ht="22.2" thickTop="1" thickBot="1">
      <c r="A24" s="32"/>
      <c r="B24" s="37" t="s">
        <v>38</v>
      </c>
      <c r="C24" s="29"/>
      <c r="D24" s="30"/>
      <c r="E24" s="30"/>
      <c r="AA24">
        <f t="shared" si="4"/>
        <v>0</v>
      </c>
      <c r="AB24">
        <f t="shared" si="5"/>
        <v>0</v>
      </c>
      <c r="AC24">
        <f t="shared" si="6"/>
        <v>0</v>
      </c>
      <c r="AD24">
        <f t="shared" si="7"/>
        <v>0</v>
      </c>
    </row>
    <row r="25" spans="1:30" ht="37.200000000000003" thickTop="1" thickBot="1">
      <c r="A25" s="32"/>
      <c r="B25" s="37" t="s">
        <v>39</v>
      </c>
      <c r="C25" s="29"/>
      <c r="D25" s="30"/>
      <c r="E25" s="30"/>
      <c r="AA25">
        <f t="shared" si="4"/>
        <v>0</v>
      </c>
      <c r="AB25">
        <f t="shared" si="5"/>
        <v>0</v>
      </c>
      <c r="AC25">
        <f t="shared" si="6"/>
        <v>0</v>
      </c>
      <c r="AD25">
        <f t="shared" si="7"/>
        <v>0</v>
      </c>
    </row>
    <row r="26" spans="1:30" ht="22.2" thickTop="1" thickBot="1">
      <c r="A26" s="32"/>
      <c r="B26" s="37" t="s">
        <v>40</v>
      </c>
      <c r="C26" s="29"/>
      <c r="D26" s="30"/>
      <c r="E26" s="30"/>
      <c r="AA26">
        <f t="shared" si="4"/>
        <v>0</v>
      </c>
      <c r="AB26">
        <f t="shared" si="5"/>
        <v>0</v>
      </c>
      <c r="AC26">
        <f t="shared" si="6"/>
        <v>0</v>
      </c>
      <c r="AD26">
        <f t="shared" si="7"/>
        <v>0</v>
      </c>
    </row>
    <row r="27" spans="1:30" ht="22.2" thickTop="1" thickBot="1">
      <c r="A27" s="32"/>
      <c r="B27" s="37" t="s">
        <v>41</v>
      </c>
      <c r="C27" s="29"/>
      <c r="D27" s="30"/>
      <c r="E27" s="30"/>
      <c r="AA27">
        <f t="shared" si="4"/>
        <v>0</v>
      </c>
      <c r="AB27">
        <f t="shared" si="5"/>
        <v>0</v>
      </c>
      <c r="AC27">
        <f t="shared" si="6"/>
        <v>0</v>
      </c>
      <c r="AD27">
        <f t="shared" si="7"/>
        <v>0</v>
      </c>
    </row>
    <row r="28" spans="1:30" ht="22.2" thickTop="1" thickBot="1">
      <c r="A28" s="32"/>
      <c r="B28" s="37" t="s">
        <v>42</v>
      </c>
      <c r="C28" s="29"/>
      <c r="D28" s="30"/>
      <c r="E28" s="30"/>
      <c r="AA28">
        <f t="shared" si="4"/>
        <v>0</v>
      </c>
      <c r="AB28">
        <f t="shared" si="5"/>
        <v>0</v>
      </c>
      <c r="AC28">
        <f t="shared" si="6"/>
        <v>0</v>
      </c>
      <c r="AD28">
        <f t="shared" si="7"/>
        <v>0</v>
      </c>
    </row>
    <row r="29" spans="1:30" ht="22.2" thickTop="1" thickBot="1">
      <c r="A29" s="32"/>
      <c r="B29" s="37" t="s">
        <v>43</v>
      </c>
      <c r="C29" s="29"/>
      <c r="D29" s="30"/>
      <c r="E29" s="30"/>
      <c r="AA29">
        <f t="shared" si="4"/>
        <v>0</v>
      </c>
      <c r="AB29">
        <f t="shared" si="5"/>
        <v>0</v>
      </c>
      <c r="AC29">
        <f t="shared" si="6"/>
        <v>0</v>
      </c>
      <c r="AD29">
        <f t="shared" si="7"/>
        <v>0</v>
      </c>
    </row>
    <row r="30" spans="1:30" ht="22.2" thickTop="1" thickBot="1">
      <c r="A30" s="32"/>
      <c r="B30" s="37" t="s">
        <v>44</v>
      </c>
      <c r="C30" s="29"/>
      <c r="D30" s="30"/>
      <c r="E30" s="30"/>
      <c r="AA30">
        <f t="shared" si="4"/>
        <v>0</v>
      </c>
      <c r="AB30">
        <f t="shared" si="5"/>
        <v>0</v>
      </c>
      <c r="AC30">
        <f t="shared" si="6"/>
        <v>0</v>
      </c>
      <c r="AD30">
        <f t="shared" si="7"/>
        <v>0</v>
      </c>
    </row>
    <row r="31" spans="1:30" ht="22.2" thickTop="1" thickBot="1">
      <c r="A31" s="32"/>
      <c r="B31" s="37" t="s">
        <v>45</v>
      </c>
      <c r="C31" s="29"/>
      <c r="D31" s="30"/>
      <c r="E31" s="30"/>
      <c r="AA31">
        <f t="shared" si="4"/>
        <v>0</v>
      </c>
      <c r="AB31">
        <f t="shared" si="5"/>
        <v>0</v>
      </c>
      <c r="AC31">
        <f t="shared" si="6"/>
        <v>0</v>
      </c>
      <c r="AD31">
        <f t="shared" si="7"/>
        <v>0</v>
      </c>
    </row>
    <row r="32" spans="1:30" ht="22.2" thickTop="1" thickBot="1">
      <c r="A32" s="32"/>
      <c r="B32" s="37" t="s">
        <v>46</v>
      </c>
      <c r="C32" s="29"/>
      <c r="D32" s="30"/>
      <c r="E32" s="30"/>
      <c r="AA32">
        <f t="shared" si="4"/>
        <v>0</v>
      </c>
      <c r="AB32">
        <f t="shared" si="5"/>
        <v>0</v>
      </c>
      <c r="AC32">
        <f t="shared" si="6"/>
        <v>0</v>
      </c>
      <c r="AD32">
        <f t="shared" si="7"/>
        <v>0</v>
      </c>
    </row>
    <row r="33" spans="1:32" ht="22.2" thickTop="1" thickBot="1">
      <c r="A33" s="32"/>
      <c r="B33" s="37" t="s">
        <v>47</v>
      </c>
      <c r="C33" s="29"/>
      <c r="D33" s="30"/>
      <c r="E33" s="30"/>
      <c r="AA33">
        <f t="shared" si="4"/>
        <v>0</v>
      </c>
      <c r="AB33">
        <f t="shared" si="5"/>
        <v>0</v>
      </c>
      <c r="AC33">
        <f t="shared" si="6"/>
        <v>0</v>
      </c>
      <c r="AD33">
        <f t="shared" si="7"/>
        <v>0</v>
      </c>
    </row>
    <row r="34" spans="1:32" ht="55.2" thickTop="1" thickBot="1">
      <c r="A34" s="27" t="s">
        <v>48</v>
      </c>
      <c r="B34" s="38" t="s">
        <v>49</v>
      </c>
      <c r="C34" s="29"/>
      <c r="D34" s="30"/>
      <c r="E34" s="30"/>
      <c r="AA34">
        <f t="shared" si="4"/>
        <v>0</v>
      </c>
      <c r="AB34">
        <f t="shared" si="5"/>
        <v>0</v>
      </c>
      <c r="AC34">
        <f t="shared" si="6"/>
        <v>0</v>
      </c>
      <c r="AD34">
        <f t="shared" si="7"/>
        <v>0</v>
      </c>
    </row>
    <row r="35" spans="1:32" ht="22.2" thickTop="1" thickBot="1">
      <c r="A35" s="27" t="s">
        <v>50</v>
      </c>
      <c r="B35" s="38" t="s">
        <v>51</v>
      </c>
      <c r="C35" s="29"/>
      <c r="D35" s="30"/>
      <c r="E35" s="30"/>
      <c r="AA35">
        <f t="shared" si="4"/>
        <v>0</v>
      </c>
      <c r="AB35">
        <f t="shared" si="5"/>
        <v>0</v>
      </c>
      <c r="AC35">
        <f t="shared" si="6"/>
        <v>0</v>
      </c>
      <c r="AD35">
        <f t="shared" si="7"/>
        <v>0</v>
      </c>
    </row>
    <row r="36" spans="1:32" ht="37.200000000000003" thickTop="1" thickBot="1">
      <c r="A36" s="27" t="s">
        <v>52</v>
      </c>
      <c r="B36" s="38" t="s">
        <v>53</v>
      </c>
      <c r="C36" s="29"/>
      <c r="D36" s="30"/>
      <c r="E36" s="30"/>
      <c r="AA36">
        <f t="shared" si="4"/>
        <v>0</v>
      </c>
      <c r="AB36">
        <f t="shared" si="5"/>
        <v>0</v>
      </c>
      <c r="AC36">
        <f t="shared" si="6"/>
        <v>0</v>
      </c>
      <c r="AD36">
        <f t="shared" si="7"/>
        <v>0</v>
      </c>
    </row>
    <row r="37" spans="1:32" ht="64.5" customHeight="1" thickTop="1" thickBot="1">
      <c r="A37" s="39" t="s">
        <v>54</v>
      </c>
      <c r="B37" s="40" t="s">
        <v>55</v>
      </c>
      <c r="C37" s="24" t="s">
        <v>56</v>
      </c>
      <c r="D37" s="25"/>
      <c r="E37" s="26" t="str">
        <f>"Quotation: "&amp;ROUND((AE37/AF37)*100,2)&amp;"%"</f>
        <v>Quotation: 0%</v>
      </c>
      <c r="AE37">
        <f>SUM(AA38:AA41)+SUM(AB38:AB41)*0.5</f>
        <v>0</v>
      </c>
      <c r="AF37">
        <f>COUNT(AA38:AA41)-SUM(AD38:AD41)</f>
        <v>4</v>
      </c>
    </row>
    <row r="38" spans="1:32" ht="55.2" thickTop="1" thickBot="1">
      <c r="A38" s="27" t="s">
        <v>57</v>
      </c>
      <c r="B38" s="38" t="s">
        <v>58</v>
      </c>
      <c r="C38" s="29"/>
      <c r="D38" s="30"/>
      <c r="E38" s="30"/>
      <c r="AA38">
        <f>IF(C38="Met",1,0)</f>
        <v>0</v>
      </c>
      <c r="AB38">
        <f>IF(C38="Partially Met",1,0)</f>
        <v>0</v>
      </c>
      <c r="AC38">
        <f>IF(C38="UnMet",1,0)</f>
        <v>0</v>
      </c>
      <c r="AD38">
        <f>IF(C38="Not Applicable",1,0)</f>
        <v>0</v>
      </c>
    </row>
    <row r="39" spans="1:32" ht="37.200000000000003" thickTop="1" thickBot="1">
      <c r="A39" s="27" t="s">
        <v>59</v>
      </c>
      <c r="B39" s="38" t="s">
        <v>60</v>
      </c>
      <c r="C39" s="29"/>
      <c r="D39" s="30"/>
      <c r="E39" s="30"/>
      <c r="AA39">
        <f>IF(C39="Met",1,0)</f>
        <v>0</v>
      </c>
      <c r="AB39">
        <f>IF(C39="Partially Met",1,0)</f>
        <v>0</v>
      </c>
      <c r="AC39">
        <f>IF(C39="UnMet",1,0)</f>
        <v>0</v>
      </c>
      <c r="AD39">
        <f>IF(C39="Not Applicable",1,0)</f>
        <v>0</v>
      </c>
    </row>
    <row r="40" spans="1:32" ht="55.2" thickTop="1" thickBot="1">
      <c r="A40" s="27" t="s">
        <v>61</v>
      </c>
      <c r="B40" s="38" t="s">
        <v>62</v>
      </c>
      <c r="C40" s="29"/>
      <c r="D40" s="30"/>
      <c r="E40" s="30"/>
      <c r="AA40">
        <f>IF(C40="Met",1,0)</f>
        <v>0</v>
      </c>
      <c r="AB40">
        <f>IF(C40="Partially Met",1,0)</f>
        <v>0</v>
      </c>
      <c r="AC40">
        <f>IF(C40="UnMet",1,0)</f>
        <v>0</v>
      </c>
      <c r="AD40">
        <f>IF(C40="Not Applicable",1,0)</f>
        <v>0</v>
      </c>
    </row>
    <row r="41" spans="1:32" ht="55.2" thickTop="1" thickBot="1">
      <c r="A41" s="27" t="s">
        <v>63</v>
      </c>
      <c r="B41" s="38" t="s">
        <v>64</v>
      </c>
      <c r="C41" s="29"/>
      <c r="D41" s="30"/>
      <c r="E41" s="30"/>
      <c r="AA41">
        <f>IF(C41="Met",1,0)</f>
        <v>0</v>
      </c>
      <c r="AB41">
        <f>IF(C41="Partially Met",1,0)</f>
        <v>0</v>
      </c>
      <c r="AC41">
        <f>IF(C41="UnMet",1,0)</f>
        <v>0</v>
      </c>
      <c r="AD41">
        <f>IF(C41="Not Applicable",1,0)</f>
        <v>0</v>
      </c>
    </row>
    <row r="42" spans="1:32" ht="66" customHeight="1" thickTop="1" thickBot="1">
      <c r="A42" s="39" t="s">
        <v>65</v>
      </c>
      <c r="B42" s="39" t="s">
        <v>66</v>
      </c>
      <c r="C42" s="24" t="s">
        <v>67</v>
      </c>
      <c r="D42" s="25"/>
      <c r="E42" s="26" t="str">
        <f>"Quotation: "&amp;ROUND((AE42/AF42)*100,2)&amp;"%"</f>
        <v>Quotation: 0%</v>
      </c>
      <c r="AE42">
        <f>SUM(AA43:AA53)+SUM(AB43:AB53)*0.5</f>
        <v>0</v>
      </c>
      <c r="AF42">
        <f>COUNT(AA43:AA53)-SUM(AD43:AD53)</f>
        <v>10</v>
      </c>
    </row>
    <row r="43" spans="1:32" ht="22.2" thickTop="1" thickBot="1">
      <c r="A43" s="32" t="s">
        <v>68</v>
      </c>
      <c r="B43" s="41" t="s">
        <v>69</v>
      </c>
      <c r="C43" s="34"/>
      <c r="D43" s="35"/>
      <c r="E43" s="36"/>
    </row>
    <row r="44" spans="1:32" ht="22.2" thickTop="1" thickBot="1">
      <c r="A44" s="32"/>
      <c r="B44" s="42" t="s">
        <v>70</v>
      </c>
      <c r="C44" s="29"/>
      <c r="D44" s="30"/>
      <c r="E44" s="30"/>
      <c r="AA44">
        <f t="shared" ref="AA44:AA53" si="8">IF(C44="Met",1,0)</f>
        <v>0</v>
      </c>
      <c r="AB44">
        <f t="shared" ref="AB44:AB53" si="9">IF(C44="Partially Met",1,0)</f>
        <v>0</v>
      </c>
      <c r="AC44">
        <f t="shared" ref="AC44:AC53" si="10">IF(C44="UnMet",1,0)</f>
        <v>0</v>
      </c>
      <c r="AD44">
        <f t="shared" ref="AD44:AD53" si="11">IF(C44="Not Applicable",1,0)</f>
        <v>0</v>
      </c>
    </row>
    <row r="45" spans="1:32" ht="22.2" thickTop="1" thickBot="1">
      <c r="A45" s="32"/>
      <c r="B45" s="42" t="s">
        <v>71</v>
      </c>
      <c r="C45" s="29"/>
      <c r="D45" s="30"/>
      <c r="E45" s="30"/>
      <c r="AA45">
        <f t="shared" si="8"/>
        <v>0</v>
      </c>
      <c r="AB45">
        <f t="shared" si="9"/>
        <v>0</v>
      </c>
      <c r="AC45">
        <f t="shared" si="10"/>
        <v>0</v>
      </c>
      <c r="AD45">
        <f t="shared" si="11"/>
        <v>0</v>
      </c>
    </row>
    <row r="46" spans="1:32" ht="22.2" thickTop="1" thickBot="1">
      <c r="A46" s="32"/>
      <c r="B46" s="42" t="s">
        <v>72</v>
      </c>
      <c r="C46" s="29"/>
      <c r="D46" s="30"/>
      <c r="E46" s="30"/>
      <c r="AA46">
        <f t="shared" si="8"/>
        <v>0</v>
      </c>
      <c r="AB46">
        <f t="shared" si="9"/>
        <v>0</v>
      </c>
      <c r="AC46">
        <f t="shared" si="10"/>
        <v>0</v>
      </c>
      <c r="AD46">
        <f t="shared" si="11"/>
        <v>0</v>
      </c>
    </row>
    <row r="47" spans="1:32" ht="22.2" thickTop="1" thickBot="1">
      <c r="A47" s="32"/>
      <c r="B47" s="42" t="s">
        <v>73</v>
      </c>
      <c r="C47" s="29"/>
      <c r="D47" s="30"/>
      <c r="E47" s="30"/>
      <c r="AA47">
        <f t="shared" si="8"/>
        <v>0</v>
      </c>
      <c r="AB47">
        <f t="shared" si="9"/>
        <v>0</v>
      </c>
      <c r="AC47">
        <f t="shared" si="10"/>
        <v>0</v>
      </c>
      <c r="AD47">
        <f t="shared" si="11"/>
        <v>0</v>
      </c>
    </row>
    <row r="48" spans="1:32" ht="22.2" thickTop="1" thickBot="1">
      <c r="A48" s="32"/>
      <c r="B48" s="42" t="s">
        <v>74</v>
      </c>
      <c r="C48" s="29"/>
      <c r="D48" s="30"/>
      <c r="E48" s="30"/>
      <c r="AA48">
        <f t="shared" si="8"/>
        <v>0</v>
      </c>
      <c r="AB48">
        <f t="shared" si="9"/>
        <v>0</v>
      </c>
      <c r="AC48">
        <f t="shared" si="10"/>
        <v>0</v>
      </c>
      <c r="AD48">
        <f t="shared" si="11"/>
        <v>0</v>
      </c>
    </row>
    <row r="49" spans="1:32" ht="22.2" thickTop="1" thickBot="1">
      <c r="A49" s="32"/>
      <c r="B49" s="42" t="s">
        <v>75</v>
      </c>
      <c r="C49" s="29"/>
      <c r="D49" s="30"/>
      <c r="E49" s="30"/>
      <c r="AA49">
        <f t="shared" si="8"/>
        <v>0</v>
      </c>
      <c r="AB49">
        <f t="shared" si="9"/>
        <v>0</v>
      </c>
      <c r="AC49">
        <f t="shared" si="10"/>
        <v>0</v>
      </c>
      <c r="AD49">
        <f t="shared" si="11"/>
        <v>0</v>
      </c>
    </row>
    <row r="50" spans="1:32" ht="22.2" thickTop="1" thickBot="1">
      <c r="A50" s="32"/>
      <c r="B50" s="42" t="s">
        <v>76</v>
      </c>
      <c r="C50" s="29"/>
      <c r="D50" s="30"/>
      <c r="E50" s="30"/>
      <c r="AA50">
        <f t="shared" si="8"/>
        <v>0</v>
      </c>
      <c r="AB50">
        <f t="shared" si="9"/>
        <v>0</v>
      </c>
      <c r="AC50">
        <f t="shared" si="10"/>
        <v>0</v>
      </c>
      <c r="AD50">
        <f t="shared" si="11"/>
        <v>0</v>
      </c>
    </row>
    <row r="51" spans="1:32" ht="37.200000000000003" thickTop="1" thickBot="1">
      <c r="A51" s="27" t="s">
        <v>77</v>
      </c>
      <c r="B51" s="38" t="s">
        <v>78</v>
      </c>
      <c r="C51" s="29"/>
      <c r="D51" s="30"/>
      <c r="E51" s="30"/>
      <c r="AA51">
        <f t="shared" si="8"/>
        <v>0</v>
      </c>
      <c r="AB51">
        <f t="shared" si="9"/>
        <v>0</v>
      </c>
      <c r="AC51">
        <f t="shared" si="10"/>
        <v>0</v>
      </c>
      <c r="AD51">
        <f t="shared" si="11"/>
        <v>0</v>
      </c>
    </row>
    <row r="52" spans="1:32" ht="22.2" thickTop="1" thickBot="1">
      <c r="A52" s="27" t="s">
        <v>79</v>
      </c>
      <c r="B52" s="38" t="s">
        <v>80</v>
      </c>
      <c r="C52" s="29"/>
      <c r="D52" s="30"/>
      <c r="E52" s="30"/>
      <c r="AA52">
        <f t="shared" si="8"/>
        <v>0</v>
      </c>
      <c r="AB52">
        <f t="shared" si="9"/>
        <v>0</v>
      </c>
      <c r="AC52">
        <f t="shared" si="10"/>
        <v>0</v>
      </c>
      <c r="AD52">
        <f t="shared" si="11"/>
        <v>0</v>
      </c>
    </row>
    <row r="53" spans="1:32" ht="37.200000000000003" thickTop="1" thickBot="1">
      <c r="A53" s="27" t="s">
        <v>81</v>
      </c>
      <c r="B53" s="38" t="s">
        <v>82</v>
      </c>
      <c r="C53" s="29"/>
      <c r="D53" s="30"/>
      <c r="E53" s="30"/>
      <c r="AA53">
        <f t="shared" si="8"/>
        <v>0</v>
      </c>
      <c r="AB53">
        <f t="shared" si="9"/>
        <v>0</v>
      </c>
      <c r="AC53">
        <f t="shared" si="10"/>
        <v>0</v>
      </c>
      <c r="AD53">
        <f t="shared" si="11"/>
        <v>0</v>
      </c>
    </row>
    <row r="54" spans="1:32" ht="72" customHeight="1" thickTop="1" thickBot="1">
      <c r="A54" s="39" t="s">
        <v>83</v>
      </c>
      <c r="B54" s="39" t="s">
        <v>84</v>
      </c>
      <c r="C54" s="24" t="s">
        <v>85</v>
      </c>
      <c r="D54" s="25"/>
      <c r="E54" s="26" t="str">
        <f>"Quotation: "&amp;ROUND((AE54/AF54)*100,2)&amp;"%"</f>
        <v>Quotation: 0%</v>
      </c>
      <c r="AE54">
        <f>SUM(AA55:AA72)+SUM(AB55:AB72)*0.5</f>
        <v>0</v>
      </c>
      <c r="AF54">
        <f>COUNT(AA55:AA72)-SUM(AD55:AD72)</f>
        <v>17</v>
      </c>
    </row>
    <row r="55" spans="1:32" ht="37.200000000000003" thickTop="1" thickBot="1">
      <c r="A55" s="27" t="s">
        <v>86</v>
      </c>
      <c r="B55" s="38" t="s">
        <v>87</v>
      </c>
      <c r="C55" s="29"/>
      <c r="D55" s="30"/>
      <c r="E55" s="30"/>
      <c r="AA55">
        <f>IF(C55="Met",1,0)</f>
        <v>0</v>
      </c>
      <c r="AB55">
        <f>IF(C55="Partially Met",1,0)</f>
        <v>0</v>
      </c>
      <c r="AC55">
        <f>IF(C55="UnMet",1,0)</f>
        <v>0</v>
      </c>
      <c r="AD55">
        <f>IF(C55="Not Applicable",1,0)</f>
        <v>0</v>
      </c>
    </row>
    <row r="56" spans="1:32" ht="55.2" thickTop="1" thickBot="1">
      <c r="A56" s="32" t="s">
        <v>88</v>
      </c>
      <c r="B56" s="41" t="s">
        <v>89</v>
      </c>
      <c r="C56" s="34"/>
      <c r="D56" s="35"/>
      <c r="E56" s="36"/>
    </row>
    <row r="57" spans="1:32" ht="22.2" thickTop="1" thickBot="1">
      <c r="A57" s="32"/>
      <c r="B57" s="38" t="s">
        <v>90</v>
      </c>
      <c r="C57" s="29"/>
      <c r="D57" s="30"/>
      <c r="E57" s="30"/>
      <c r="AA57">
        <f t="shared" ref="AA57:AA72" si="12">IF(C57="Met",1,0)</f>
        <v>0</v>
      </c>
      <c r="AB57">
        <f t="shared" ref="AB57:AB72" si="13">IF(C57="Partially Met",1,0)</f>
        <v>0</v>
      </c>
      <c r="AC57">
        <f t="shared" ref="AC57:AC72" si="14">IF(C57="UnMet",1,0)</f>
        <v>0</v>
      </c>
      <c r="AD57">
        <f t="shared" ref="AD57:AD72" si="15">IF(C57="Not Applicable",1,0)</f>
        <v>0</v>
      </c>
    </row>
    <row r="58" spans="1:32" ht="22.2" thickTop="1" thickBot="1">
      <c r="A58" s="32"/>
      <c r="B58" s="38" t="s">
        <v>91</v>
      </c>
      <c r="C58" s="29"/>
      <c r="D58" s="30"/>
      <c r="E58" s="30"/>
      <c r="AA58">
        <f t="shared" si="12"/>
        <v>0</v>
      </c>
      <c r="AB58">
        <f t="shared" si="13"/>
        <v>0</v>
      </c>
      <c r="AC58">
        <f t="shared" si="14"/>
        <v>0</v>
      </c>
      <c r="AD58">
        <f t="shared" si="15"/>
        <v>0</v>
      </c>
    </row>
    <row r="59" spans="1:32" ht="22.2" thickTop="1" thickBot="1">
      <c r="A59" s="32"/>
      <c r="B59" s="38" t="s">
        <v>92</v>
      </c>
      <c r="C59" s="29"/>
      <c r="D59" s="30"/>
      <c r="E59" s="30"/>
      <c r="AA59">
        <f t="shared" si="12"/>
        <v>0</v>
      </c>
      <c r="AB59">
        <f t="shared" si="13"/>
        <v>0</v>
      </c>
      <c r="AC59">
        <f t="shared" si="14"/>
        <v>0</v>
      </c>
      <c r="AD59">
        <f t="shared" si="15"/>
        <v>0</v>
      </c>
    </row>
    <row r="60" spans="1:32" ht="22.2" thickTop="1" thickBot="1">
      <c r="A60" s="32"/>
      <c r="B60" s="38" t="s">
        <v>93</v>
      </c>
      <c r="C60" s="29"/>
      <c r="D60" s="30"/>
      <c r="E60" s="30"/>
      <c r="AA60">
        <f t="shared" si="12"/>
        <v>0</v>
      </c>
      <c r="AB60">
        <f t="shared" si="13"/>
        <v>0</v>
      </c>
      <c r="AC60">
        <f t="shared" si="14"/>
        <v>0</v>
      </c>
      <c r="AD60">
        <f t="shared" si="15"/>
        <v>0</v>
      </c>
    </row>
    <row r="61" spans="1:32" ht="22.2" thickTop="1" thickBot="1">
      <c r="A61" s="32"/>
      <c r="B61" s="38" t="s">
        <v>94</v>
      </c>
      <c r="C61" s="29"/>
      <c r="D61" s="30"/>
      <c r="E61" s="30"/>
      <c r="AA61">
        <f t="shared" si="12"/>
        <v>0</v>
      </c>
      <c r="AB61">
        <f t="shared" si="13"/>
        <v>0</v>
      </c>
      <c r="AC61">
        <f t="shared" si="14"/>
        <v>0</v>
      </c>
      <c r="AD61">
        <f t="shared" si="15"/>
        <v>0</v>
      </c>
    </row>
    <row r="62" spans="1:32" ht="22.2" thickTop="1" thickBot="1">
      <c r="A62" s="32"/>
      <c r="B62" s="38" t="s">
        <v>95</v>
      </c>
      <c r="C62" s="29"/>
      <c r="D62" s="30"/>
      <c r="E62" s="30"/>
      <c r="AA62">
        <f t="shared" si="12"/>
        <v>0</v>
      </c>
      <c r="AB62">
        <f t="shared" si="13"/>
        <v>0</v>
      </c>
      <c r="AC62">
        <f t="shared" si="14"/>
        <v>0</v>
      </c>
      <c r="AD62">
        <f t="shared" si="15"/>
        <v>0</v>
      </c>
    </row>
    <row r="63" spans="1:32" ht="22.2" thickTop="1" thickBot="1">
      <c r="A63" s="32"/>
      <c r="B63" s="38" t="s">
        <v>96</v>
      </c>
      <c r="C63" s="29"/>
      <c r="D63" s="30"/>
      <c r="E63" s="30"/>
      <c r="AA63">
        <f t="shared" si="12"/>
        <v>0</v>
      </c>
      <c r="AB63">
        <f t="shared" si="13"/>
        <v>0</v>
      </c>
      <c r="AC63">
        <f t="shared" si="14"/>
        <v>0</v>
      </c>
      <c r="AD63">
        <f t="shared" si="15"/>
        <v>0</v>
      </c>
    </row>
    <row r="64" spans="1:32" ht="22.2" thickTop="1" thickBot="1">
      <c r="A64" s="32"/>
      <c r="B64" s="38" t="s">
        <v>97</v>
      </c>
      <c r="C64" s="29"/>
      <c r="D64" s="30"/>
      <c r="E64" s="30"/>
      <c r="AA64">
        <f t="shared" si="12"/>
        <v>0</v>
      </c>
      <c r="AB64">
        <f t="shared" si="13"/>
        <v>0</v>
      </c>
      <c r="AC64">
        <f t="shared" si="14"/>
        <v>0</v>
      </c>
      <c r="AD64">
        <f t="shared" si="15"/>
        <v>0</v>
      </c>
    </row>
    <row r="65" spans="1:32" ht="22.2" thickTop="1" thickBot="1">
      <c r="A65" s="32"/>
      <c r="B65" s="38" t="s">
        <v>98</v>
      </c>
      <c r="C65" s="29"/>
      <c r="D65" s="30"/>
      <c r="E65" s="30"/>
      <c r="AA65">
        <f t="shared" si="12"/>
        <v>0</v>
      </c>
      <c r="AB65">
        <f t="shared" si="13"/>
        <v>0</v>
      </c>
      <c r="AC65">
        <f t="shared" si="14"/>
        <v>0</v>
      </c>
      <c r="AD65">
        <f t="shared" si="15"/>
        <v>0</v>
      </c>
    </row>
    <row r="66" spans="1:32" ht="20.25" customHeight="1" thickTop="1" thickBot="1">
      <c r="A66" s="32"/>
      <c r="B66" s="43" t="s">
        <v>99</v>
      </c>
      <c r="C66" s="44"/>
      <c r="D66" s="44"/>
      <c r="E66" s="44"/>
      <c r="AA66">
        <f t="shared" si="12"/>
        <v>0</v>
      </c>
      <c r="AB66">
        <f t="shared" si="13"/>
        <v>0</v>
      </c>
      <c r="AC66">
        <f t="shared" si="14"/>
        <v>0</v>
      </c>
      <c r="AD66">
        <f t="shared" si="15"/>
        <v>0</v>
      </c>
    </row>
    <row r="67" spans="1:32" ht="55.2" thickTop="1" thickBot="1">
      <c r="A67" s="27" t="s">
        <v>100</v>
      </c>
      <c r="B67" s="38" t="s">
        <v>101</v>
      </c>
      <c r="C67" s="29"/>
      <c r="D67" s="30"/>
      <c r="E67" s="30"/>
      <c r="AA67">
        <f t="shared" si="12"/>
        <v>0</v>
      </c>
      <c r="AB67">
        <f t="shared" si="13"/>
        <v>0</v>
      </c>
      <c r="AC67">
        <f t="shared" si="14"/>
        <v>0</v>
      </c>
      <c r="AD67">
        <f t="shared" si="15"/>
        <v>0</v>
      </c>
    </row>
    <row r="68" spans="1:32" ht="37.200000000000003" thickTop="1" thickBot="1">
      <c r="A68" s="27" t="s">
        <v>102</v>
      </c>
      <c r="B68" s="38" t="s">
        <v>103</v>
      </c>
      <c r="C68" s="29"/>
      <c r="D68" s="30"/>
      <c r="E68" s="30"/>
      <c r="AA68">
        <f t="shared" si="12"/>
        <v>0</v>
      </c>
      <c r="AB68">
        <f t="shared" si="13"/>
        <v>0</v>
      </c>
      <c r="AC68">
        <f t="shared" si="14"/>
        <v>0</v>
      </c>
      <c r="AD68">
        <f t="shared" si="15"/>
        <v>0</v>
      </c>
    </row>
    <row r="69" spans="1:32" ht="60.75" customHeight="1" thickTop="1" thickBot="1">
      <c r="A69" s="27" t="s">
        <v>104</v>
      </c>
      <c r="B69" s="38" t="s">
        <v>105</v>
      </c>
      <c r="C69" s="45"/>
      <c r="D69" s="30"/>
      <c r="E69" s="30"/>
      <c r="AA69">
        <f t="shared" si="12"/>
        <v>0</v>
      </c>
      <c r="AB69">
        <f t="shared" si="13"/>
        <v>0</v>
      </c>
      <c r="AC69">
        <f t="shared" si="14"/>
        <v>0</v>
      </c>
      <c r="AD69">
        <f t="shared" si="15"/>
        <v>0</v>
      </c>
    </row>
    <row r="70" spans="1:32" ht="55.2" thickTop="1" thickBot="1">
      <c r="A70" s="27" t="s">
        <v>106</v>
      </c>
      <c r="B70" s="38" t="s">
        <v>107</v>
      </c>
      <c r="C70" s="29"/>
      <c r="D70" s="30"/>
      <c r="E70" s="30"/>
      <c r="AA70">
        <f t="shared" si="12"/>
        <v>0</v>
      </c>
      <c r="AB70">
        <f t="shared" si="13"/>
        <v>0</v>
      </c>
      <c r="AC70">
        <f t="shared" si="14"/>
        <v>0</v>
      </c>
      <c r="AD70">
        <f t="shared" si="15"/>
        <v>0</v>
      </c>
    </row>
    <row r="71" spans="1:32" ht="37.200000000000003" thickTop="1" thickBot="1">
      <c r="A71" s="27" t="s">
        <v>108</v>
      </c>
      <c r="B71" s="38" t="s">
        <v>109</v>
      </c>
      <c r="C71" s="29"/>
      <c r="D71" s="30"/>
      <c r="E71" s="30"/>
      <c r="AA71">
        <f t="shared" si="12"/>
        <v>0</v>
      </c>
      <c r="AB71">
        <f t="shared" si="13"/>
        <v>0</v>
      </c>
      <c r="AC71">
        <f t="shared" si="14"/>
        <v>0</v>
      </c>
      <c r="AD71">
        <f t="shared" si="15"/>
        <v>0</v>
      </c>
    </row>
    <row r="72" spans="1:32" ht="37.200000000000003" thickTop="1" thickBot="1">
      <c r="A72" s="27" t="s">
        <v>110</v>
      </c>
      <c r="B72" s="38" t="s">
        <v>111</v>
      </c>
      <c r="C72" s="29"/>
      <c r="D72" s="30"/>
      <c r="E72" s="30"/>
      <c r="AA72">
        <f t="shared" si="12"/>
        <v>0</v>
      </c>
      <c r="AB72">
        <f t="shared" si="13"/>
        <v>0</v>
      </c>
      <c r="AC72">
        <f t="shared" si="14"/>
        <v>0</v>
      </c>
      <c r="AD72">
        <f t="shared" si="15"/>
        <v>0</v>
      </c>
    </row>
    <row r="73" spans="1:32" ht="56.1" customHeight="1" thickTop="1" thickBot="1">
      <c r="A73" s="46" t="s">
        <v>112</v>
      </c>
      <c r="B73" s="47" t="s">
        <v>113</v>
      </c>
      <c r="C73" s="48" t="s">
        <v>114</v>
      </c>
      <c r="D73" s="49"/>
      <c r="E73" s="50" t="str">
        <f>"Quotation: "&amp;ROUND((AE73/AF73)*100,2)&amp;"%"</f>
        <v>Quotation: 0%</v>
      </c>
      <c r="AE73">
        <f>SUM(AA74:AA80)+SUM(AB74:AB80)*0.5</f>
        <v>0</v>
      </c>
      <c r="AF73">
        <f>COUNT(AA74:AA80)-SUM(AD74:AD80)</f>
        <v>7</v>
      </c>
    </row>
    <row r="74" spans="1:32" ht="55.2" thickTop="1" thickBot="1">
      <c r="A74" s="27" t="s">
        <v>115</v>
      </c>
      <c r="B74" s="28" t="s">
        <v>116</v>
      </c>
      <c r="C74" s="29"/>
      <c r="D74" s="30"/>
      <c r="E74" s="30"/>
      <c r="AA74">
        <f t="shared" ref="AA74:AA80" si="16">IF(C74="Met",1,0)</f>
        <v>0</v>
      </c>
      <c r="AB74">
        <f t="shared" ref="AB74:AB80" si="17">IF(C74="Partially Met",1,0)</f>
        <v>0</v>
      </c>
      <c r="AC74">
        <f t="shared" ref="AC74:AC80" si="18">IF(C74="UnMet",1,0)</f>
        <v>0</v>
      </c>
      <c r="AD74">
        <f t="shared" ref="AD74:AD80" si="19">IF(C74="Not Applicable",1,0)</f>
        <v>0</v>
      </c>
    </row>
    <row r="75" spans="1:32" ht="37.200000000000003" thickTop="1" thickBot="1">
      <c r="A75" s="27" t="s">
        <v>117</v>
      </c>
      <c r="B75" s="38" t="s">
        <v>118</v>
      </c>
      <c r="C75" s="29"/>
      <c r="D75" s="30"/>
      <c r="E75" s="30"/>
      <c r="AA75">
        <f t="shared" si="16"/>
        <v>0</v>
      </c>
      <c r="AB75">
        <f t="shared" si="17"/>
        <v>0</v>
      </c>
      <c r="AC75">
        <f t="shared" si="18"/>
        <v>0</v>
      </c>
      <c r="AD75">
        <f t="shared" si="19"/>
        <v>0</v>
      </c>
    </row>
    <row r="76" spans="1:32" ht="37.200000000000003" thickTop="1" thickBot="1">
      <c r="A76" s="27" t="s">
        <v>119</v>
      </c>
      <c r="B76" s="38" t="s">
        <v>120</v>
      </c>
      <c r="C76" s="29"/>
      <c r="D76" s="30"/>
      <c r="E76" s="30"/>
      <c r="AA76">
        <f t="shared" si="16"/>
        <v>0</v>
      </c>
      <c r="AB76">
        <f t="shared" si="17"/>
        <v>0</v>
      </c>
      <c r="AC76">
        <f t="shared" si="18"/>
        <v>0</v>
      </c>
      <c r="AD76">
        <f t="shared" si="19"/>
        <v>0</v>
      </c>
    </row>
    <row r="77" spans="1:32" ht="73.2" thickTop="1" thickBot="1">
      <c r="A77" s="27" t="s">
        <v>121</v>
      </c>
      <c r="B77" s="38" t="s">
        <v>122</v>
      </c>
      <c r="C77" s="29"/>
      <c r="D77" s="30"/>
      <c r="E77" s="30"/>
      <c r="AA77">
        <f t="shared" si="16"/>
        <v>0</v>
      </c>
      <c r="AB77">
        <f t="shared" si="17"/>
        <v>0</v>
      </c>
      <c r="AC77">
        <f t="shared" si="18"/>
        <v>0</v>
      </c>
      <c r="AD77">
        <f t="shared" si="19"/>
        <v>0</v>
      </c>
    </row>
    <row r="78" spans="1:32" ht="37.200000000000003" thickTop="1" thickBot="1">
      <c r="A78" s="27" t="s">
        <v>123</v>
      </c>
      <c r="B78" s="38" t="s">
        <v>124</v>
      </c>
      <c r="C78" s="29"/>
      <c r="D78" s="30"/>
      <c r="E78" s="30"/>
      <c r="AA78">
        <f t="shared" si="16"/>
        <v>0</v>
      </c>
      <c r="AB78">
        <f t="shared" si="17"/>
        <v>0</v>
      </c>
      <c r="AC78">
        <f t="shared" si="18"/>
        <v>0</v>
      </c>
      <c r="AD78">
        <f t="shared" si="19"/>
        <v>0</v>
      </c>
    </row>
    <row r="79" spans="1:32" ht="55.2" thickTop="1" thickBot="1">
      <c r="A79" s="27" t="s">
        <v>125</v>
      </c>
      <c r="B79" s="38" t="s">
        <v>126</v>
      </c>
      <c r="C79" s="29"/>
      <c r="D79" s="30"/>
      <c r="E79" s="30"/>
      <c r="AA79">
        <f t="shared" si="16"/>
        <v>0</v>
      </c>
      <c r="AB79">
        <f t="shared" si="17"/>
        <v>0</v>
      </c>
      <c r="AC79">
        <f t="shared" si="18"/>
        <v>0</v>
      </c>
      <c r="AD79">
        <f t="shared" si="19"/>
        <v>0</v>
      </c>
    </row>
    <row r="80" spans="1:32" ht="37.200000000000003" thickTop="1" thickBot="1">
      <c r="A80" s="27" t="s">
        <v>127</v>
      </c>
      <c r="B80" s="38" t="s">
        <v>128</v>
      </c>
      <c r="C80" s="29"/>
      <c r="D80" s="30"/>
      <c r="E80" s="30"/>
      <c r="AA80">
        <f t="shared" si="16"/>
        <v>0</v>
      </c>
      <c r="AB80">
        <f t="shared" si="17"/>
        <v>0</v>
      </c>
      <c r="AC80">
        <f t="shared" si="18"/>
        <v>0</v>
      </c>
      <c r="AD80">
        <f t="shared" si="19"/>
        <v>0</v>
      </c>
    </row>
    <row r="81" spans="1:32" ht="51" customHeight="1" thickTop="1" thickBot="1">
      <c r="A81" s="47" t="s">
        <v>129</v>
      </c>
      <c r="B81" s="47" t="s">
        <v>130</v>
      </c>
      <c r="C81" s="48" t="s">
        <v>11</v>
      </c>
      <c r="D81" s="49"/>
      <c r="E81" s="50" t="str">
        <f>"Quotation: "&amp;ROUND((AE81/AF81)*100,2)&amp;"%"</f>
        <v>Quotation: 0%</v>
      </c>
      <c r="AE81">
        <f>SUM(AA82:AA88)+SUM(AB82:AB88)*0.5</f>
        <v>0</v>
      </c>
      <c r="AF81">
        <f>COUNT(AA82:AA88)-SUM(AD82:AD88)</f>
        <v>7</v>
      </c>
    </row>
    <row r="82" spans="1:32" ht="55.2" thickTop="1" thickBot="1">
      <c r="A82" s="27" t="s">
        <v>131</v>
      </c>
      <c r="B82" s="38" t="s">
        <v>132</v>
      </c>
      <c r="C82" s="29"/>
      <c r="D82" s="30"/>
      <c r="E82" s="30"/>
      <c r="AA82">
        <f t="shared" ref="AA82:AA88" si="20">IF(C82="Met",1,0)</f>
        <v>0</v>
      </c>
      <c r="AB82">
        <f t="shared" ref="AB82:AB88" si="21">IF(C82="Partially Met",1,0)</f>
        <v>0</v>
      </c>
      <c r="AC82">
        <f t="shared" ref="AC82:AC88" si="22">IF(C82="UnMet",1,0)</f>
        <v>0</v>
      </c>
      <c r="AD82">
        <f t="shared" ref="AD82:AD88" si="23">IF(C82="Not Applicable",1,0)</f>
        <v>0</v>
      </c>
    </row>
    <row r="83" spans="1:32" ht="37.200000000000003" thickTop="1" thickBot="1">
      <c r="A83" s="27" t="s">
        <v>133</v>
      </c>
      <c r="B83" s="38" t="s">
        <v>134</v>
      </c>
      <c r="C83" s="29"/>
      <c r="D83" s="30"/>
      <c r="E83" s="30"/>
      <c r="AA83">
        <f t="shared" si="20"/>
        <v>0</v>
      </c>
      <c r="AB83">
        <f t="shared" si="21"/>
        <v>0</v>
      </c>
      <c r="AC83">
        <f t="shared" si="22"/>
        <v>0</v>
      </c>
      <c r="AD83">
        <f t="shared" si="23"/>
        <v>0</v>
      </c>
    </row>
    <row r="84" spans="1:32" ht="37.200000000000003" thickTop="1" thickBot="1">
      <c r="A84" s="27" t="s">
        <v>135</v>
      </c>
      <c r="B84" s="38" t="s">
        <v>136</v>
      </c>
      <c r="C84" s="29"/>
      <c r="D84" s="30"/>
      <c r="E84" s="30"/>
      <c r="AA84">
        <f t="shared" si="20"/>
        <v>0</v>
      </c>
      <c r="AB84">
        <f t="shared" si="21"/>
        <v>0</v>
      </c>
      <c r="AC84">
        <f t="shared" si="22"/>
        <v>0</v>
      </c>
      <c r="AD84">
        <f t="shared" si="23"/>
        <v>0</v>
      </c>
    </row>
    <row r="85" spans="1:32" ht="55.2" thickTop="1" thickBot="1">
      <c r="A85" s="27" t="s">
        <v>137</v>
      </c>
      <c r="B85" s="38" t="s">
        <v>138</v>
      </c>
      <c r="C85" s="29"/>
      <c r="D85" s="30"/>
      <c r="E85" s="30"/>
      <c r="AA85">
        <f t="shared" si="20"/>
        <v>0</v>
      </c>
      <c r="AB85">
        <f t="shared" si="21"/>
        <v>0</v>
      </c>
      <c r="AC85">
        <f t="shared" si="22"/>
        <v>0</v>
      </c>
      <c r="AD85">
        <f t="shared" si="23"/>
        <v>0</v>
      </c>
    </row>
    <row r="86" spans="1:32" ht="73.2" thickTop="1" thickBot="1">
      <c r="A86" s="27" t="s">
        <v>139</v>
      </c>
      <c r="B86" s="38" t="s">
        <v>140</v>
      </c>
      <c r="C86" s="29"/>
      <c r="D86" s="30"/>
      <c r="E86" s="30"/>
      <c r="AA86">
        <f t="shared" si="20"/>
        <v>0</v>
      </c>
      <c r="AB86">
        <f t="shared" si="21"/>
        <v>0</v>
      </c>
      <c r="AC86">
        <f t="shared" si="22"/>
        <v>0</v>
      </c>
      <c r="AD86">
        <f t="shared" si="23"/>
        <v>0</v>
      </c>
    </row>
    <row r="87" spans="1:32" ht="55.2" thickTop="1" thickBot="1">
      <c r="A87" s="27" t="s">
        <v>141</v>
      </c>
      <c r="B87" s="38" t="s">
        <v>126</v>
      </c>
      <c r="C87" s="29"/>
      <c r="D87" s="30"/>
      <c r="E87" s="30"/>
      <c r="AA87">
        <f t="shared" si="20"/>
        <v>0</v>
      </c>
      <c r="AB87">
        <f t="shared" si="21"/>
        <v>0</v>
      </c>
      <c r="AC87">
        <f t="shared" si="22"/>
        <v>0</v>
      </c>
      <c r="AD87">
        <f t="shared" si="23"/>
        <v>0</v>
      </c>
    </row>
    <row r="88" spans="1:32" ht="37.200000000000003" thickTop="1" thickBot="1">
      <c r="A88" s="27" t="s">
        <v>142</v>
      </c>
      <c r="B88" s="38" t="s">
        <v>143</v>
      </c>
      <c r="C88" s="29"/>
      <c r="D88" s="30"/>
      <c r="E88" s="30"/>
      <c r="AA88">
        <f t="shared" si="20"/>
        <v>0</v>
      </c>
      <c r="AB88">
        <f t="shared" si="21"/>
        <v>0</v>
      </c>
      <c r="AC88">
        <f t="shared" si="22"/>
        <v>0</v>
      </c>
      <c r="AD88">
        <f t="shared" si="23"/>
        <v>0</v>
      </c>
    </row>
    <row r="89" spans="1:32" ht="60" customHeight="1" thickTop="1" thickBot="1">
      <c r="A89" s="39" t="s">
        <v>144</v>
      </c>
      <c r="B89" s="51" t="s">
        <v>145</v>
      </c>
      <c r="C89" s="24" t="s">
        <v>146</v>
      </c>
      <c r="D89" s="25"/>
      <c r="E89" s="26" t="str">
        <f>"Quotation: "&amp;ROUND((AE89/AF89)*100,2)&amp;"%"</f>
        <v>Quotation: 0%</v>
      </c>
      <c r="AE89">
        <f>SUM(AA90:AA93)+SUM(AB90:AB93)*0.5</f>
        <v>0</v>
      </c>
      <c r="AF89">
        <f>COUNT(AA90:AA93)-SUM(AD90:AD93)</f>
        <v>4</v>
      </c>
    </row>
    <row r="90" spans="1:32" ht="55.2" thickTop="1" thickBot="1">
      <c r="A90" s="27" t="s">
        <v>147</v>
      </c>
      <c r="B90" s="38" t="s">
        <v>148</v>
      </c>
      <c r="C90" s="29"/>
      <c r="D90" s="30"/>
      <c r="E90" s="30"/>
      <c r="AA90">
        <f>IF(C90="Met",1,0)</f>
        <v>0</v>
      </c>
      <c r="AB90">
        <f>IF(C90="Partially Met",1,0)</f>
        <v>0</v>
      </c>
      <c r="AC90">
        <f>IF(C90="UnMet",1,0)</f>
        <v>0</v>
      </c>
      <c r="AD90">
        <f>IF(C90="Not Applicable",1,0)</f>
        <v>0</v>
      </c>
    </row>
    <row r="91" spans="1:32" ht="54" customHeight="1" thickTop="1" thickBot="1">
      <c r="A91" s="27" t="s">
        <v>149</v>
      </c>
      <c r="B91" s="38" t="s">
        <v>150</v>
      </c>
      <c r="C91" s="29"/>
      <c r="D91" s="30"/>
      <c r="E91" s="30"/>
      <c r="AA91">
        <f>IF(C91="Met",1,0)</f>
        <v>0</v>
      </c>
      <c r="AB91">
        <f>IF(C91="Partially Met",1,0)</f>
        <v>0</v>
      </c>
      <c r="AC91">
        <f>IF(C91="UnMet",1,0)</f>
        <v>0</v>
      </c>
      <c r="AD91">
        <f>IF(C91="Not Applicable",1,0)</f>
        <v>0</v>
      </c>
    </row>
    <row r="92" spans="1:32" ht="31.5" customHeight="1" thickTop="1" thickBot="1">
      <c r="A92" s="27" t="s">
        <v>151</v>
      </c>
      <c r="B92" s="38" t="s">
        <v>152</v>
      </c>
      <c r="C92" s="29"/>
      <c r="D92" s="30"/>
      <c r="E92" s="30"/>
      <c r="AA92">
        <f>IF(C92="Met",1,0)</f>
        <v>0</v>
      </c>
      <c r="AB92">
        <f>IF(C92="Partially Met",1,0)</f>
        <v>0</v>
      </c>
      <c r="AC92">
        <f>IF(C92="UnMet",1,0)</f>
        <v>0</v>
      </c>
      <c r="AD92">
        <f>IF(C92="Not Applicable",1,0)</f>
        <v>0</v>
      </c>
    </row>
    <row r="93" spans="1:32" ht="55.2" thickTop="1" thickBot="1">
      <c r="A93" s="27" t="s">
        <v>153</v>
      </c>
      <c r="B93" s="38" t="s">
        <v>154</v>
      </c>
      <c r="C93" s="29"/>
      <c r="D93" s="30"/>
      <c r="E93" s="30"/>
      <c r="AA93">
        <f>IF(C93="Met",1,0)</f>
        <v>0</v>
      </c>
      <c r="AB93">
        <f>IF(C93="Partially Met",1,0)</f>
        <v>0</v>
      </c>
      <c r="AC93">
        <f>IF(C93="UnMet",1,0)</f>
        <v>0</v>
      </c>
      <c r="AD93">
        <f>IF(C93="Not Applicable",1,0)</f>
        <v>0</v>
      </c>
    </row>
    <row r="94" spans="1:32" ht="80.25" customHeight="1" thickTop="1" thickBot="1">
      <c r="A94" s="39" t="s">
        <v>155</v>
      </c>
      <c r="B94" s="39" t="s">
        <v>156</v>
      </c>
      <c r="C94" s="24" t="s">
        <v>157</v>
      </c>
      <c r="D94" s="25"/>
      <c r="E94" s="26" t="str">
        <f>"Quotation: "&amp;ROUND((AE94/AF94)*100,2)&amp;"%"</f>
        <v>Quotation: 0%</v>
      </c>
      <c r="AE94">
        <f>SUM(AA95:AA120)+SUM(AB95:AB120)*0.5</f>
        <v>0</v>
      </c>
      <c r="AF94">
        <f>COUNT(AA95:AA120)-SUM(AD95:AD120)</f>
        <v>24</v>
      </c>
    </row>
    <row r="95" spans="1:32" ht="37.200000000000003" thickTop="1" thickBot="1">
      <c r="A95" s="32" t="s">
        <v>158</v>
      </c>
      <c r="B95" s="41" t="s">
        <v>159</v>
      </c>
      <c r="C95" s="34"/>
      <c r="D95" s="35"/>
      <c r="E95" s="36"/>
    </row>
    <row r="96" spans="1:32" ht="24" customHeight="1" thickTop="1" thickBot="1">
      <c r="A96" s="32"/>
      <c r="B96" s="52" t="s">
        <v>160</v>
      </c>
      <c r="C96" s="29"/>
      <c r="D96" s="30"/>
      <c r="E96" s="30"/>
      <c r="AA96">
        <f t="shared" ref="AA96:AA111" si="24">IF(C96="Met",1,0)</f>
        <v>0</v>
      </c>
      <c r="AB96">
        <f t="shared" ref="AB96:AB111" si="25">IF(C96="Partially Met",1,0)</f>
        <v>0</v>
      </c>
      <c r="AC96">
        <f t="shared" ref="AC96:AC111" si="26">IF(C96="UnMet",1,0)</f>
        <v>0</v>
      </c>
      <c r="AD96">
        <f t="shared" ref="AD96:AD111" si="27">IF(C96="Not Applicable",1,0)</f>
        <v>0</v>
      </c>
    </row>
    <row r="97" spans="1:30" ht="22.2" thickTop="1" thickBot="1">
      <c r="A97" s="32"/>
      <c r="B97" s="52" t="s">
        <v>161</v>
      </c>
      <c r="C97" s="29"/>
      <c r="D97" s="30"/>
      <c r="E97" s="30"/>
      <c r="AA97">
        <f t="shared" si="24"/>
        <v>0</v>
      </c>
      <c r="AB97">
        <f t="shared" si="25"/>
        <v>0</v>
      </c>
      <c r="AC97">
        <f t="shared" si="26"/>
        <v>0</v>
      </c>
      <c r="AD97">
        <f t="shared" si="27"/>
        <v>0</v>
      </c>
    </row>
    <row r="98" spans="1:30" ht="22.2" thickTop="1" thickBot="1">
      <c r="A98" s="32"/>
      <c r="B98" s="52" t="s">
        <v>162</v>
      </c>
      <c r="C98" s="29"/>
      <c r="D98" s="30"/>
      <c r="E98" s="30"/>
      <c r="AA98">
        <f t="shared" si="24"/>
        <v>0</v>
      </c>
      <c r="AB98">
        <f t="shared" si="25"/>
        <v>0</v>
      </c>
      <c r="AC98">
        <f t="shared" si="26"/>
        <v>0</v>
      </c>
      <c r="AD98">
        <f t="shared" si="27"/>
        <v>0</v>
      </c>
    </row>
    <row r="99" spans="1:30" ht="22.2" thickTop="1" thickBot="1">
      <c r="A99" s="32"/>
      <c r="B99" s="52" t="s">
        <v>163</v>
      </c>
      <c r="C99" s="29"/>
      <c r="D99" s="30"/>
      <c r="E99" s="30"/>
      <c r="AA99">
        <f t="shared" si="24"/>
        <v>0</v>
      </c>
      <c r="AB99">
        <f t="shared" si="25"/>
        <v>0</v>
      </c>
      <c r="AC99">
        <f t="shared" si="26"/>
        <v>0</v>
      </c>
      <c r="AD99">
        <f t="shared" si="27"/>
        <v>0</v>
      </c>
    </row>
    <row r="100" spans="1:30" ht="22.2" thickTop="1" thickBot="1">
      <c r="A100" s="32"/>
      <c r="B100" s="52" t="s">
        <v>164</v>
      </c>
      <c r="C100" s="29"/>
      <c r="D100" s="30"/>
      <c r="E100" s="30"/>
      <c r="AA100">
        <f t="shared" si="24"/>
        <v>0</v>
      </c>
      <c r="AB100">
        <f t="shared" si="25"/>
        <v>0</v>
      </c>
      <c r="AC100">
        <f t="shared" si="26"/>
        <v>0</v>
      </c>
      <c r="AD100">
        <f t="shared" si="27"/>
        <v>0</v>
      </c>
    </row>
    <row r="101" spans="1:30" ht="22.2" thickTop="1" thickBot="1">
      <c r="A101" s="32"/>
      <c r="B101" s="52" t="s">
        <v>165</v>
      </c>
      <c r="C101" s="29"/>
      <c r="D101" s="30"/>
      <c r="E101" s="30"/>
      <c r="AA101">
        <f t="shared" si="24"/>
        <v>0</v>
      </c>
      <c r="AB101">
        <f t="shared" si="25"/>
        <v>0</v>
      </c>
      <c r="AC101">
        <f t="shared" si="26"/>
        <v>0</v>
      </c>
      <c r="AD101">
        <f t="shared" si="27"/>
        <v>0</v>
      </c>
    </row>
    <row r="102" spans="1:30" ht="22.2" thickTop="1" thickBot="1">
      <c r="A102" s="32"/>
      <c r="B102" s="52" t="s">
        <v>166</v>
      </c>
      <c r="C102" s="29"/>
      <c r="D102" s="30"/>
      <c r="E102" s="30"/>
      <c r="AA102">
        <f t="shared" si="24"/>
        <v>0</v>
      </c>
      <c r="AB102">
        <f t="shared" si="25"/>
        <v>0</v>
      </c>
      <c r="AC102">
        <f t="shared" si="26"/>
        <v>0</v>
      </c>
      <c r="AD102">
        <f t="shared" si="27"/>
        <v>0</v>
      </c>
    </row>
    <row r="103" spans="1:30" ht="22.2" thickTop="1" thickBot="1">
      <c r="A103" s="32"/>
      <c r="B103" s="52" t="s">
        <v>167</v>
      </c>
      <c r="C103" s="29"/>
      <c r="D103" s="30"/>
      <c r="E103" s="30"/>
      <c r="AA103">
        <f t="shared" si="24"/>
        <v>0</v>
      </c>
      <c r="AB103">
        <f t="shared" si="25"/>
        <v>0</v>
      </c>
      <c r="AC103">
        <f t="shared" si="26"/>
        <v>0</v>
      </c>
      <c r="AD103">
        <f t="shared" si="27"/>
        <v>0</v>
      </c>
    </row>
    <row r="104" spans="1:30" ht="22.2" thickTop="1" thickBot="1">
      <c r="A104" s="32"/>
      <c r="B104" s="52" t="s">
        <v>168</v>
      </c>
      <c r="C104" s="29"/>
      <c r="D104" s="30"/>
      <c r="E104" s="30"/>
      <c r="AA104">
        <f t="shared" si="24"/>
        <v>0</v>
      </c>
      <c r="AB104">
        <f t="shared" si="25"/>
        <v>0</v>
      </c>
      <c r="AC104">
        <f t="shared" si="26"/>
        <v>0</v>
      </c>
      <c r="AD104">
        <f t="shared" si="27"/>
        <v>0</v>
      </c>
    </row>
    <row r="105" spans="1:30" ht="37.200000000000003" thickTop="1" thickBot="1">
      <c r="A105" s="32"/>
      <c r="B105" s="52" t="s">
        <v>169</v>
      </c>
      <c r="C105" s="29"/>
      <c r="D105" s="30"/>
      <c r="E105" s="30"/>
      <c r="AA105">
        <f t="shared" si="24"/>
        <v>0</v>
      </c>
      <c r="AB105">
        <f t="shared" si="25"/>
        <v>0</v>
      </c>
      <c r="AC105">
        <f t="shared" si="26"/>
        <v>0</v>
      </c>
      <c r="AD105">
        <f t="shared" si="27"/>
        <v>0</v>
      </c>
    </row>
    <row r="106" spans="1:30" ht="37.200000000000003" thickTop="1" thickBot="1">
      <c r="A106" s="27" t="s">
        <v>170</v>
      </c>
      <c r="B106" s="53" t="s">
        <v>171</v>
      </c>
      <c r="C106" s="29"/>
      <c r="D106" s="30"/>
      <c r="E106" s="30"/>
      <c r="AA106">
        <f t="shared" si="24"/>
        <v>0</v>
      </c>
      <c r="AB106">
        <f t="shared" si="25"/>
        <v>0</v>
      </c>
      <c r="AC106">
        <f t="shared" si="26"/>
        <v>0</v>
      </c>
      <c r="AD106">
        <f t="shared" si="27"/>
        <v>0</v>
      </c>
    </row>
    <row r="107" spans="1:30" ht="55.2" thickTop="1" thickBot="1">
      <c r="A107" s="27" t="s">
        <v>172</v>
      </c>
      <c r="B107" s="53" t="s">
        <v>173</v>
      </c>
      <c r="C107" s="29"/>
      <c r="D107" s="30"/>
      <c r="E107" s="30"/>
      <c r="AA107">
        <f t="shared" si="24"/>
        <v>0</v>
      </c>
      <c r="AB107">
        <f t="shared" si="25"/>
        <v>0</v>
      </c>
      <c r="AC107">
        <f t="shared" si="26"/>
        <v>0</v>
      </c>
      <c r="AD107">
        <f t="shared" si="27"/>
        <v>0</v>
      </c>
    </row>
    <row r="108" spans="1:30" ht="22.2" thickTop="1" thickBot="1">
      <c r="A108" s="27" t="s">
        <v>174</v>
      </c>
      <c r="B108" s="53" t="s">
        <v>175</v>
      </c>
      <c r="C108" s="29"/>
      <c r="D108" s="30"/>
      <c r="E108" s="30"/>
      <c r="AA108">
        <f t="shared" si="24"/>
        <v>0</v>
      </c>
      <c r="AB108">
        <f t="shared" si="25"/>
        <v>0</v>
      </c>
      <c r="AC108">
        <f t="shared" si="26"/>
        <v>0</v>
      </c>
      <c r="AD108">
        <f t="shared" si="27"/>
        <v>0</v>
      </c>
    </row>
    <row r="109" spans="1:30" ht="37.200000000000003" thickTop="1" thickBot="1">
      <c r="A109" s="27" t="s">
        <v>176</v>
      </c>
      <c r="B109" s="54" t="s">
        <v>177</v>
      </c>
      <c r="C109" s="29"/>
      <c r="D109" s="30"/>
      <c r="E109" s="30"/>
      <c r="AA109">
        <f t="shared" si="24"/>
        <v>0</v>
      </c>
      <c r="AB109">
        <f t="shared" si="25"/>
        <v>0</v>
      </c>
      <c r="AC109">
        <f t="shared" si="26"/>
        <v>0</v>
      </c>
      <c r="AD109">
        <f t="shared" si="27"/>
        <v>0</v>
      </c>
    </row>
    <row r="110" spans="1:30" ht="55.2" thickTop="1" thickBot="1">
      <c r="A110" s="27" t="s">
        <v>178</v>
      </c>
      <c r="B110" s="54" t="s">
        <v>179</v>
      </c>
      <c r="C110" s="29"/>
      <c r="D110" s="30"/>
      <c r="E110" s="30"/>
      <c r="AA110">
        <f t="shared" si="24"/>
        <v>0</v>
      </c>
      <c r="AB110">
        <f t="shared" si="25"/>
        <v>0</v>
      </c>
      <c r="AC110">
        <f t="shared" si="26"/>
        <v>0</v>
      </c>
      <c r="AD110">
        <f t="shared" si="27"/>
        <v>0</v>
      </c>
    </row>
    <row r="111" spans="1:30" ht="37.200000000000003" thickTop="1" thickBot="1">
      <c r="A111" s="27" t="s">
        <v>180</v>
      </c>
      <c r="B111" s="55" t="s">
        <v>181</v>
      </c>
      <c r="C111" s="29"/>
      <c r="D111" s="30"/>
      <c r="E111" s="30"/>
      <c r="AA111">
        <f t="shared" si="24"/>
        <v>0</v>
      </c>
      <c r="AB111">
        <f t="shared" si="25"/>
        <v>0</v>
      </c>
      <c r="AC111">
        <f t="shared" si="26"/>
        <v>0</v>
      </c>
      <c r="AD111">
        <f t="shared" si="27"/>
        <v>0</v>
      </c>
    </row>
    <row r="112" spans="1:30" ht="55.2" thickTop="1" thickBot="1">
      <c r="A112" s="32" t="s">
        <v>182</v>
      </c>
      <c r="B112" s="56" t="s">
        <v>183</v>
      </c>
      <c r="C112" s="34"/>
      <c r="D112" s="35"/>
      <c r="E112" s="36"/>
    </row>
    <row r="113" spans="1:32" ht="22.2" thickTop="1" thickBot="1">
      <c r="A113" s="32"/>
      <c r="B113" s="57" t="s">
        <v>184</v>
      </c>
      <c r="C113" s="29"/>
      <c r="D113" s="30"/>
      <c r="E113" s="30"/>
      <c r="AA113">
        <f t="shared" ref="AA113:AA120" si="28">IF(C113="Met",1,0)</f>
        <v>0</v>
      </c>
      <c r="AB113">
        <f t="shared" ref="AB113:AB120" si="29">IF(C113="Partially Met",1,0)</f>
        <v>0</v>
      </c>
      <c r="AC113">
        <f t="shared" ref="AC113:AC120" si="30">IF(C113="UnMet",1,0)</f>
        <v>0</v>
      </c>
      <c r="AD113">
        <f t="shared" ref="AD113:AD120" si="31">IF(C113="Not Applicable",1,0)</f>
        <v>0</v>
      </c>
    </row>
    <row r="114" spans="1:32" ht="22.2" thickTop="1" thickBot="1">
      <c r="A114" s="32"/>
      <c r="B114" s="57" t="s">
        <v>185</v>
      </c>
      <c r="C114" s="29"/>
      <c r="D114" s="30"/>
      <c r="E114" s="30"/>
      <c r="AA114">
        <f t="shared" si="28"/>
        <v>0</v>
      </c>
      <c r="AB114">
        <f t="shared" si="29"/>
        <v>0</v>
      </c>
      <c r="AC114">
        <f t="shared" si="30"/>
        <v>0</v>
      </c>
      <c r="AD114">
        <f t="shared" si="31"/>
        <v>0</v>
      </c>
    </row>
    <row r="115" spans="1:32" ht="22.2" thickTop="1" thickBot="1">
      <c r="A115" s="32"/>
      <c r="B115" s="57" t="s">
        <v>186</v>
      </c>
      <c r="C115" s="29"/>
      <c r="D115" s="30"/>
      <c r="E115" s="30"/>
      <c r="AA115">
        <f t="shared" si="28"/>
        <v>0</v>
      </c>
      <c r="AB115">
        <f t="shared" si="29"/>
        <v>0</v>
      </c>
      <c r="AC115">
        <f t="shared" si="30"/>
        <v>0</v>
      </c>
      <c r="AD115">
        <f t="shared" si="31"/>
        <v>0</v>
      </c>
    </row>
    <row r="116" spans="1:32" ht="22.2" thickTop="1" thickBot="1">
      <c r="A116" s="32"/>
      <c r="B116" s="57" t="s">
        <v>187</v>
      </c>
      <c r="C116" s="29"/>
      <c r="D116" s="30"/>
      <c r="E116" s="30"/>
      <c r="AA116">
        <f t="shared" si="28"/>
        <v>0</v>
      </c>
      <c r="AB116">
        <f t="shared" si="29"/>
        <v>0</v>
      </c>
      <c r="AC116">
        <f t="shared" si="30"/>
        <v>0</v>
      </c>
      <c r="AD116">
        <f t="shared" si="31"/>
        <v>0</v>
      </c>
    </row>
    <row r="117" spans="1:32" ht="22.2" thickTop="1" thickBot="1">
      <c r="A117" s="32"/>
      <c r="B117" s="57" t="s">
        <v>188</v>
      </c>
      <c r="C117" s="29"/>
      <c r="D117" s="30"/>
      <c r="E117" s="30"/>
      <c r="AA117">
        <f t="shared" si="28"/>
        <v>0</v>
      </c>
      <c r="AB117">
        <f t="shared" si="29"/>
        <v>0</v>
      </c>
      <c r="AC117">
        <f t="shared" si="30"/>
        <v>0</v>
      </c>
      <c r="AD117">
        <f t="shared" si="31"/>
        <v>0</v>
      </c>
    </row>
    <row r="118" spans="1:32" ht="22.2" thickTop="1" thickBot="1">
      <c r="A118" s="32"/>
      <c r="B118" s="57" t="s">
        <v>189</v>
      </c>
      <c r="C118" s="29"/>
      <c r="D118" s="30"/>
      <c r="E118" s="30"/>
      <c r="AA118">
        <f t="shared" si="28"/>
        <v>0</v>
      </c>
      <c r="AB118">
        <f t="shared" si="29"/>
        <v>0</v>
      </c>
      <c r="AC118">
        <f t="shared" si="30"/>
        <v>0</v>
      </c>
      <c r="AD118">
        <f t="shared" si="31"/>
        <v>0</v>
      </c>
    </row>
    <row r="119" spans="1:32" ht="27" thickTop="1" thickBot="1">
      <c r="A119" s="32"/>
      <c r="B119" s="57" t="s">
        <v>190</v>
      </c>
      <c r="C119" s="29"/>
      <c r="D119" s="30"/>
      <c r="E119" s="30"/>
      <c r="AA119">
        <f t="shared" si="28"/>
        <v>0</v>
      </c>
      <c r="AB119">
        <f t="shared" si="29"/>
        <v>0</v>
      </c>
      <c r="AC119">
        <f t="shared" si="30"/>
        <v>0</v>
      </c>
      <c r="AD119">
        <f t="shared" si="31"/>
        <v>0</v>
      </c>
    </row>
    <row r="120" spans="1:32" ht="37.200000000000003" thickTop="1" thickBot="1">
      <c r="A120" s="27" t="s">
        <v>191</v>
      </c>
      <c r="B120" s="28" t="s">
        <v>192</v>
      </c>
      <c r="C120" s="29"/>
      <c r="D120" s="30"/>
      <c r="E120" s="30"/>
      <c r="AA120">
        <f t="shared" si="28"/>
        <v>0</v>
      </c>
      <c r="AB120">
        <f t="shared" si="29"/>
        <v>0</v>
      </c>
      <c r="AC120">
        <f t="shared" si="30"/>
        <v>0</v>
      </c>
      <c r="AD120">
        <f t="shared" si="31"/>
        <v>0</v>
      </c>
    </row>
    <row r="121" spans="1:32" ht="73.5" customHeight="1" thickTop="1" thickBot="1">
      <c r="A121" s="23" t="s">
        <v>193</v>
      </c>
      <c r="B121" s="23" t="s">
        <v>194</v>
      </c>
      <c r="C121" s="24" t="s">
        <v>146</v>
      </c>
      <c r="D121" s="25"/>
      <c r="E121" s="26" t="str">
        <f>"Quotation: "&amp;ROUND((AE121/AF121)*100,2)&amp;"%"</f>
        <v>Quotation: 0%</v>
      </c>
      <c r="AE121">
        <f>SUM(AA122:AA125)+SUM(AB122:AB125)*0.5</f>
        <v>0</v>
      </c>
      <c r="AF121">
        <f>COUNT(AA122:AA125)-SUM(AD122:AD125)</f>
        <v>4</v>
      </c>
    </row>
    <row r="122" spans="1:32" ht="37.200000000000003" thickTop="1" thickBot="1">
      <c r="A122" s="27" t="s">
        <v>195</v>
      </c>
      <c r="B122" s="28" t="s">
        <v>196</v>
      </c>
      <c r="C122" s="29"/>
      <c r="D122" s="30"/>
      <c r="E122" s="30"/>
      <c r="AA122">
        <f>IF(C122="Met",1,0)</f>
        <v>0</v>
      </c>
      <c r="AB122">
        <f>IF(C122="Partially Met",1,0)</f>
        <v>0</v>
      </c>
      <c r="AC122">
        <f>IF(C122="UnMet",1,0)</f>
        <v>0</v>
      </c>
      <c r="AD122">
        <f>IF(C122="Not Applicable",1,0)</f>
        <v>0</v>
      </c>
    </row>
    <row r="123" spans="1:32" ht="37.200000000000003" thickTop="1" thickBot="1">
      <c r="A123" s="27" t="s">
        <v>197</v>
      </c>
      <c r="B123" s="28" t="s">
        <v>198</v>
      </c>
      <c r="C123" s="29"/>
      <c r="D123" s="30"/>
      <c r="E123" s="30"/>
      <c r="AA123">
        <f>IF(C123="Met",1,0)</f>
        <v>0</v>
      </c>
      <c r="AB123">
        <f>IF(C123="Partially Met",1,0)</f>
        <v>0</v>
      </c>
      <c r="AC123">
        <f>IF(C123="UnMet",1,0)</f>
        <v>0</v>
      </c>
      <c r="AD123">
        <f>IF(C123="Not Applicable",1,0)</f>
        <v>0</v>
      </c>
    </row>
    <row r="124" spans="1:32" ht="39" customHeight="1" thickTop="1" thickBot="1">
      <c r="A124" s="27" t="s">
        <v>199</v>
      </c>
      <c r="B124" s="28" t="s">
        <v>200</v>
      </c>
      <c r="C124" s="29"/>
      <c r="D124" s="30"/>
      <c r="E124" s="30"/>
      <c r="AA124">
        <f>IF(C124="Met",1,0)</f>
        <v>0</v>
      </c>
      <c r="AB124">
        <f>IF(C124="Partially Met",1,0)</f>
        <v>0</v>
      </c>
      <c r="AC124">
        <f>IF(C124="UnMet",1,0)</f>
        <v>0</v>
      </c>
      <c r="AD124">
        <f>IF(C124="Not Applicable",1,0)</f>
        <v>0</v>
      </c>
    </row>
    <row r="125" spans="1:32" ht="40.5" customHeight="1" thickTop="1" thickBot="1">
      <c r="A125" s="27" t="s">
        <v>201</v>
      </c>
      <c r="B125" s="28" t="s">
        <v>202</v>
      </c>
      <c r="C125" s="29"/>
      <c r="D125" s="30"/>
      <c r="E125" s="30"/>
      <c r="AA125">
        <f>IF(C125="Met",1,0)</f>
        <v>0</v>
      </c>
      <c r="AB125">
        <f>IF(C125="Partially Met",1,0)</f>
        <v>0</v>
      </c>
      <c r="AC125">
        <f>IF(C125="UnMet",1,0)</f>
        <v>0</v>
      </c>
      <c r="AD125">
        <f>IF(C125="Not Applicable",1,0)</f>
        <v>0</v>
      </c>
    </row>
    <row r="126" spans="1:32" ht="58.5" customHeight="1" thickTop="1" thickBot="1">
      <c r="A126" s="58" t="s">
        <v>203</v>
      </c>
      <c r="B126" s="51" t="s">
        <v>204</v>
      </c>
      <c r="C126" s="24" t="s">
        <v>205</v>
      </c>
      <c r="D126" s="25"/>
      <c r="E126" s="26" t="str">
        <f>"Quotation: "&amp;ROUND((AE126/AF126)*100,2)&amp;"%"</f>
        <v>Quotation: 0%</v>
      </c>
      <c r="AE126">
        <f>SUM(AA127:AA150)+SUM(AB127:AB150)*0.5</f>
        <v>0</v>
      </c>
      <c r="AF126">
        <f>COUNT(AA127:AA150)-SUM(AD127:AD150)</f>
        <v>22</v>
      </c>
    </row>
    <row r="127" spans="1:32" ht="87" customHeight="1" thickTop="1" thickBot="1">
      <c r="A127" s="59" t="s">
        <v>206</v>
      </c>
      <c r="B127" s="38" t="s">
        <v>207</v>
      </c>
      <c r="C127" s="60"/>
      <c r="D127" s="61"/>
      <c r="E127" s="61"/>
      <c r="AA127">
        <f>IF(C127="Met",1,0)</f>
        <v>0</v>
      </c>
      <c r="AB127">
        <f>IF(C127="Partially Met",1,0)</f>
        <v>0</v>
      </c>
      <c r="AC127">
        <f>IF(C127="UnMet",1,0)</f>
        <v>0</v>
      </c>
      <c r="AD127">
        <f>IF(C127="Not Applicable",1,0)</f>
        <v>0</v>
      </c>
    </row>
    <row r="128" spans="1:32" ht="84.75" customHeight="1" thickTop="1" thickBot="1">
      <c r="A128" s="62" t="s">
        <v>208</v>
      </c>
      <c r="B128" s="63" t="s">
        <v>209</v>
      </c>
      <c r="C128" s="64"/>
      <c r="D128" s="30"/>
      <c r="E128" s="30"/>
      <c r="AA128">
        <f>IF(C128="Met",1,0)</f>
        <v>0</v>
      </c>
      <c r="AB128">
        <f>IF(C128="Partially Met",1,0)</f>
        <v>0</v>
      </c>
      <c r="AC128">
        <f>IF(C128="UnMet",1,0)</f>
        <v>0</v>
      </c>
      <c r="AD128">
        <f>IF(C128="Not Applicable",1,0)</f>
        <v>0</v>
      </c>
    </row>
    <row r="129" spans="1:30" ht="39" customHeight="1" thickTop="1" thickBot="1">
      <c r="A129" s="65" t="s">
        <v>210</v>
      </c>
      <c r="B129" s="66" t="s">
        <v>211</v>
      </c>
      <c r="C129" s="35"/>
      <c r="D129" s="35"/>
      <c r="E129" s="36"/>
    </row>
    <row r="130" spans="1:30" ht="98.25" customHeight="1" thickTop="1" thickBot="1">
      <c r="A130" s="65"/>
      <c r="B130" s="67" t="s">
        <v>212</v>
      </c>
      <c r="C130" s="64"/>
      <c r="D130" s="30"/>
      <c r="E130" s="30"/>
      <c r="AA130">
        <f>IF(C130="Met",1,0)</f>
        <v>0</v>
      </c>
      <c r="AB130">
        <f>IF(C130="Partially Met",1,0)</f>
        <v>0</v>
      </c>
      <c r="AC130">
        <f>IF(C130="UnMet",1,0)</f>
        <v>0</v>
      </c>
      <c r="AD130">
        <f>IF(C130="Not Applicable",1,0)</f>
        <v>0</v>
      </c>
    </row>
    <row r="131" spans="1:30" ht="29.25" customHeight="1" thickTop="1" thickBot="1">
      <c r="A131" s="62" t="s">
        <v>213</v>
      </c>
      <c r="B131" s="38" t="s">
        <v>214</v>
      </c>
      <c r="C131" s="29"/>
      <c r="D131" s="30"/>
      <c r="E131" s="30"/>
      <c r="AA131">
        <f>IF(C131="Met",1,0)</f>
        <v>0</v>
      </c>
      <c r="AB131">
        <f>IF(C131="Partially Met",1,0)</f>
        <v>0</v>
      </c>
      <c r="AC131">
        <f>IF(C131="UnMet",1,0)</f>
        <v>0</v>
      </c>
      <c r="AD131">
        <f>IF(C131="Not Applicable",1,0)</f>
        <v>0</v>
      </c>
    </row>
    <row r="132" spans="1:30" ht="37.200000000000003" thickTop="1" thickBot="1">
      <c r="A132" s="62" t="s">
        <v>215</v>
      </c>
      <c r="B132" s="38" t="s">
        <v>216</v>
      </c>
      <c r="C132" s="29"/>
      <c r="D132" s="30"/>
      <c r="E132" s="30"/>
      <c r="AA132">
        <f>IF(C132="Met",1,0)</f>
        <v>0</v>
      </c>
      <c r="AB132">
        <f>IF(C132="Partially Met",1,0)</f>
        <v>0</v>
      </c>
      <c r="AC132">
        <f>IF(C132="UnMet",1,0)</f>
        <v>0</v>
      </c>
      <c r="AD132">
        <f>IF(C132="Not Applicable",1,0)</f>
        <v>0</v>
      </c>
    </row>
    <row r="133" spans="1:30" ht="37.200000000000003" thickTop="1" thickBot="1">
      <c r="A133" s="27" t="s">
        <v>217</v>
      </c>
      <c r="B133" s="38" t="s">
        <v>218</v>
      </c>
      <c r="C133" s="29"/>
      <c r="D133" s="30"/>
      <c r="E133" s="30"/>
      <c r="AA133">
        <f>IF(C133="Met",1,0)</f>
        <v>0</v>
      </c>
      <c r="AB133">
        <f>IF(C133="Partially Met",1,0)</f>
        <v>0</v>
      </c>
      <c r="AC133">
        <f>IF(C133="UnMet",1,0)</f>
        <v>0</v>
      </c>
      <c r="AD133">
        <f>IF(C133="Not Applicable",1,0)</f>
        <v>0</v>
      </c>
    </row>
    <row r="134" spans="1:30" ht="73.2" thickTop="1" thickBot="1">
      <c r="A134" s="27" t="s">
        <v>219</v>
      </c>
      <c r="B134" s="38" t="s">
        <v>220</v>
      </c>
      <c r="C134" s="29"/>
      <c r="D134" s="30"/>
      <c r="E134" s="30"/>
      <c r="AA134">
        <f>IF(C134="Met",1,0)</f>
        <v>0</v>
      </c>
      <c r="AB134">
        <f>IF(C134="Partially Met",1,0)</f>
        <v>0</v>
      </c>
      <c r="AC134">
        <f>IF(C134="UnMet",1,0)</f>
        <v>0</v>
      </c>
      <c r="AD134">
        <f>IF(C134="Not Applicable",1,0)</f>
        <v>0</v>
      </c>
    </row>
    <row r="135" spans="1:30" ht="33" customHeight="1" thickTop="1" thickBot="1">
      <c r="A135" s="32" t="s">
        <v>221</v>
      </c>
      <c r="B135" s="41" t="s">
        <v>222</v>
      </c>
      <c r="C135" s="34"/>
      <c r="D135" s="35"/>
      <c r="E135" s="36"/>
    </row>
    <row r="136" spans="1:30" ht="37.200000000000003" thickTop="1" thickBot="1">
      <c r="A136" s="32"/>
      <c r="B136" s="37" t="s">
        <v>223</v>
      </c>
      <c r="C136" s="29"/>
      <c r="D136" s="30"/>
      <c r="E136" s="30"/>
      <c r="AA136">
        <f t="shared" ref="AA136:AA150" si="32">IF(C136="Met",1,0)</f>
        <v>0</v>
      </c>
      <c r="AB136">
        <f t="shared" ref="AB136:AB150" si="33">IF(C136="Partially Met",1,0)</f>
        <v>0</v>
      </c>
      <c r="AC136">
        <f t="shared" ref="AC136:AC150" si="34">IF(C136="UnMet",1,0)</f>
        <v>0</v>
      </c>
      <c r="AD136">
        <f t="shared" ref="AD136:AD150" si="35">IF(C136="Not Applicable",1,0)</f>
        <v>0</v>
      </c>
    </row>
    <row r="137" spans="1:30" ht="22.2" thickTop="1" thickBot="1">
      <c r="A137" s="32"/>
      <c r="B137" s="37" t="s">
        <v>224</v>
      </c>
      <c r="C137" s="29"/>
      <c r="D137" s="30"/>
      <c r="E137" s="30"/>
      <c r="AA137">
        <f t="shared" si="32"/>
        <v>0</v>
      </c>
      <c r="AB137">
        <f t="shared" si="33"/>
        <v>0</v>
      </c>
      <c r="AC137">
        <f t="shared" si="34"/>
        <v>0</v>
      </c>
      <c r="AD137">
        <f t="shared" si="35"/>
        <v>0</v>
      </c>
    </row>
    <row r="138" spans="1:30" ht="22.2" thickTop="1" thickBot="1">
      <c r="A138" s="32"/>
      <c r="B138" s="37" t="s">
        <v>225</v>
      </c>
      <c r="C138" s="29"/>
      <c r="D138" s="30"/>
      <c r="E138" s="30"/>
      <c r="AA138">
        <f t="shared" si="32"/>
        <v>0</v>
      </c>
      <c r="AB138">
        <f t="shared" si="33"/>
        <v>0</v>
      </c>
      <c r="AC138">
        <f t="shared" si="34"/>
        <v>0</v>
      </c>
      <c r="AD138">
        <f t="shared" si="35"/>
        <v>0</v>
      </c>
    </row>
    <row r="139" spans="1:30" ht="22.2" thickTop="1" thickBot="1">
      <c r="A139" s="32"/>
      <c r="B139" s="37" t="s">
        <v>226</v>
      </c>
      <c r="C139" s="29"/>
      <c r="D139" s="30"/>
      <c r="E139" s="30"/>
      <c r="AA139">
        <f t="shared" si="32"/>
        <v>0</v>
      </c>
      <c r="AB139">
        <f t="shared" si="33"/>
        <v>0</v>
      </c>
      <c r="AC139">
        <f t="shared" si="34"/>
        <v>0</v>
      </c>
      <c r="AD139">
        <f t="shared" si="35"/>
        <v>0</v>
      </c>
    </row>
    <row r="140" spans="1:30" ht="22.2" thickTop="1" thickBot="1">
      <c r="A140" s="32"/>
      <c r="B140" s="37" t="s">
        <v>227</v>
      </c>
      <c r="C140" s="29"/>
      <c r="D140" s="30"/>
      <c r="E140" s="30"/>
      <c r="AA140">
        <f t="shared" si="32"/>
        <v>0</v>
      </c>
      <c r="AB140">
        <f t="shared" si="33"/>
        <v>0</v>
      </c>
      <c r="AC140">
        <f t="shared" si="34"/>
        <v>0</v>
      </c>
      <c r="AD140">
        <f t="shared" si="35"/>
        <v>0</v>
      </c>
    </row>
    <row r="141" spans="1:30" ht="22.2" thickTop="1" thickBot="1">
      <c r="A141" s="32"/>
      <c r="B141" s="37" t="s">
        <v>228</v>
      </c>
      <c r="C141" s="29"/>
      <c r="D141" s="30"/>
      <c r="E141" s="30"/>
      <c r="AA141">
        <f t="shared" si="32"/>
        <v>0</v>
      </c>
      <c r="AB141">
        <f t="shared" si="33"/>
        <v>0</v>
      </c>
      <c r="AC141">
        <f t="shared" si="34"/>
        <v>0</v>
      </c>
      <c r="AD141">
        <f t="shared" si="35"/>
        <v>0</v>
      </c>
    </row>
    <row r="142" spans="1:30" ht="22.2" thickTop="1" thickBot="1">
      <c r="A142" s="32"/>
      <c r="B142" s="37" t="s">
        <v>229</v>
      </c>
      <c r="C142" s="29"/>
      <c r="D142" s="30"/>
      <c r="E142" s="30"/>
      <c r="AA142">
        <f t="shared" si="32"/>
        <v>0</v>
      </c>
      <c r="AB142">
        <f t="shared" si="33"/>
        <v>0</v>
      </c>
      <c r="AC142">
        <f t="shared" si="34"/>
        <v>0</v>
      </c>
      <c r="AD142">
        <f t="shared" si="35"/>
        <v>0</v>
      </c>
    </row>
    <row r="143" spans="1:30" ht="22.2" thickTop="1" thickBot="1">
      <c r="A143" s="32"/>
      <c r="B143" s="37" t="s">
        <v>230</v>
      </c>
      <c r="C143" s="29"/>
      <c r="D143" s="30"/>
      <c r="E143" s="30"/>
      <c r="AA143">
        <f t="shared" si="32"/>
        <v>0</v>
      </c>
      <c r="AB143">
        <f t="shared" si="33"/>
        <v>0</v>
      </c>
      <c r="AC143">
        <f t="shared" si="34"/>
        <v>0</v>
      </c>
      <c r="AD143">
        <f t="shared" si="35"/>
        <v>0</v>
      </c>
    </row>
    <row r="144" spans="1:30" ht="22.2" thickTop="1" thickBot="1">
      <c r="A144" s="32"/>
      <c r="B144" s="37" t="s">
        <v>231</v>
      </c>
      <c r="C144" s="29"/>
      <c r="D144" s="30"/>
      <c r="E144" s="30"/>
      <c r="AA144">
        <f t="shared" si="32"/>
        <v>0</v>
      </c>
      <c r="AB144">
        <f t="shared" si="33"/>
        <v>0</v>
      </c>
      <c r="AC144">
        <f t="shared" si="34"/>
        <v>0</v>
      </c>
      <c r="AD144">
        <f t="shared" si="35"/>
        <v>0</v>
      </c>
    </row>
    <row r="145" spans="1:30" ht="22.2" thickTop="1" thickBot="1">
      <c r="A145" s="32"/>
      <c r="B145" s="37" t="s">
        <v>232</v>
      </c>
      <c r="C145" s="29"/>
      <c r="D145" s="30"/>
      <c r="E145" s="30"/>
      <c r="AA145">
        <f t="shared" si="32"/>
        <v>0</v>
      </c>
      <c r="AB145">
        <f t="shared" si="33"/>
        <v>0</v>
      </c>
      <c r="AC145">
        <f t="shared" si="34"/>
        <v>0</v>
      </c>
      <c r="AD145">
        <f t="shared" si="35"/>
        <v>0</v>
      </c>
    </row>
    <row r="146" spans="1:30" ht="22.2" thickTop="1" thickBot="1">
      <c r="A146" s="32"/>
      <c r="B146" s="37" t="s">
        <v>233</v>
      </c>
      <c r="C146" s="29"/>
      <c r="D146" s="30"/>
      <c r="E146" s="30"/>
      <c r="AA146">
        <f t="shared" si="32"/>
        <v>0</v>
      </c>
      <c r="AB146">
        <f t="shared" si="33"/>
        <v>0</v>
      </c>
      <c r="AC146">
        <f t="shared" si="34"/>
        <v>0</v>
      </c>
      <c r="AD146">
        <f t="shared" si="35"/>
        <v>0</v>
      </c>
    </row>
    <row r="147" spans="1:30" ht="22.2" thickTop="1" thickBot="1">
      <c r="A147" s="32"/>
      <c r="B147" s="68" t="s">
        <v>234</v>
      </c>
      <c r="C147" s="29"/>
      <c r="D147" s="30"/>
      <c r="E147" s="30"/>
      <c r="AA147">
        <f t="shared" si="32"/>
        <v>0</v>
      </c>
      <c r="AB147">
        <f t="shared" si="33"/>
        <v>0</v>
      </c>
      <c r="AC147">
        <f t="shared" si="34"/>
        <v>0</v>
      </c>
      <c r="AD147">
        <f t="shared" si="35"/>
        <v>0</v>
      </c>
    </row>
    <row r="148" spans="1:30" ht="22.2" thickTop="1" thickBot="1">
      <c r="A148" s="32"/>
      <c r="B148" s="37" t="s">
        <v>235</v>
      </c>
      <c r="C148" s="29"/>
      <c r="D148" s="30"/>
      <c r="E148" s="30"/>
      <c r="AA148">
        <f t="shared" si="32"/>
        <v>0</v>
      </c>
      <c r="AB148">
        <f t="shared" si="33"/>
        <v>0</v>
      </c>
      <c r="AC148">
        <f t="shared" si="34"/>
        <v>0</v>
      </c>
      <c r="AD148">
        <f t="shared" si="35"/>
        <v>0</v>
      </c>
    </row>
    <row r="149" spans="1:30" ht="37.200000000000003" thickTop="1" thickBot="1">
      <c r="A149" s="27" t="s">
        <v>236</v>
      </c>
      <c r="B149" s="38" t="s">
        <v>237</v>
      </c>
      <c r="C149" s="29"/>
      <c r="D149" s="30"/>
      <c r="E149" s="30"/>
      <c r="AA149">
        <f t="shared" si="32"/>
        <v>0</v>
      </c>
      <c r="AB149">
        <f t="shared" si="33"/>
        <v>0</v>
      </c>
      <c r="AC149">
        <f t="shared" si="34"/>
        <v>0</v>
      </c>
      <c r="AD149">
        <f t="shared" si="35"/>
        <v>0</v>
      </c>
    </row>
    <row r="150" spans="1:30" ht="37.200000000000003" thickTop="1" thickBot="1">
      <c r="A150" s="27" t="s">
        <v>238</v>
      </c>
      <c r="B150" s="38" t="s">
        <v>239</v>
      </c>
      <c r="C150" s="29"/>
      <c r="D150" s="30"/>
      <c r="E150" s="30"/>
      <c r="AA150">
        <f t="shared" si="32"/>
        <v>0</v>
      </c>
      <c r="AB150">
        <f t="shared" si="33"/>
        <v>0</v>
      </c>
      <c r="AC150">
        <f t="shared" si="34"/>
        <v>0</v>
      </c>
      <c r="AD150">
        <f t="shared" si="35"/>
        <v>0</v>
      </c>
    </row>
    <row r="151" spans="1:30" ht="19.5" customHeight="1" thickTop="1"/>
    <row r="152" spans="1:30" ht="19.5" customHeight="1"/>
  </sheetData>
  <sheetProtection algorithmName="SHA-512" hashValue="z/4jdT4omq7HnKTz+3LwqQoe7pYfP87v3+r71J6sWgyGbVTresznWKu76OVTWPo7jhEOkSJBS7FKdGiR5oWOXA==" saltValue="rW2BgP3lZkAajDFBsI7/qQ==" spinCount="100000" sheet="1" objects="1" scenarios="1"/>
  <mergeCells count="30">
    <mergeCell ref="C126:D126"/>
    <mergeCell ref="A129:A130"/>
    <mergeCell ref="C129:E129"/>
    <mergeCell ref="A135:A148"/>
    <mergeCell ref="C135:E135"/>
    <mergeCell ref="C94:D94"/>
    <mergeCell ref="A95:A105"/>
    <mergeCell ref="C95:E95"/>
    <mergeCell ref="A112:A119"/>
    <mergeCell ref="C112:E112"/>
    <mergeCell ref="C121:D121"/>
    <mergeCell ref="C54:D54"/>
    <mergeCell ref="A56:A66"/>
    <mergeCell ref="C56:E56"/>
    <mergeCell ref="C73:D73"/>
    <mergeCell ref="C81:D81"/>
    <mergeCell ref="C89:D89"/>
    <mergeCell ref="C15:D15"/>
    <mergeCell ref="A16:A33"/>
    <mergeCell ref="C16:E16"/>
    <mergeCell ref="C37:D37"/>
    <mergeCell ref="C42:D42"/>
    <mergeCell ref="A43:A50"/>
    <mergeCell ref="C43:E43"/>
    <mergeCell ref="A1:E1"/>
    <mergeCell ref="A2:E2"/>
    <mergeCell ref="A3:E3"/>
    <mergeCell ref="C4:E4"/>
    <mergeCell ref="A6:E6"/>
    <mergeCell ref="C7:D7"/>
  </mergeCells>
  <dataValidations count="2">
    <dataValidation type="list" showInputMessage="1" showErrorMessage="1" sqref="C74:C80 C82:C88">
      <formula1>"Met,UnMet,Not Applicable"</formula1>
    </dataValidation>
    <dataValidation type="list" showInputMessage="1" showErrorMessage="1" sqref="C8:C14 C17:C36 C38:C41 C44:C53 C55 C57:C72 C90:C93 C96:C111 C113:C120 C122:C125 C127:C128 C130:C134 C136:C150">
      <formula1>"Met,Partially Met,UnMet,Not Applicable"</formula1>
    </dataValidation>
  </dataValidations>
  <pageMargins left="0.74803149606299202" right="0.74803149606299202" top="0.98425196850393704" bottom="0.98425196850393704" header="0.511811023622047" footer="0.511811023622047"/>
  <pageSetup scale="31" orientation="landscape"/>
  <rowBreaks count="6" manualBreakCount="6">
    <brk id="14" max="8" man="1"/>
    <brk id="36" max="8" man="1"/>
    <brk id="53" max="8" man="1"/>
    <brk id="72" max="8" man="1"/>
    <brk id="88" max="8" man="1"/>
    <brk id="120"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vt:i4>
      </vt:variant>
    </vt:vector>
  </HeadingPairs>
  <TitlesOfParts>
    <vt:vector size="9" baseType="lpstr">
      <vt:lpstr>SMCS5</vt:lpstr>
      <vt:lpstr>SMCS5!_Toc45702478</vt:lpstr>
      <vt:lpstr>SMCS5!_Toc87294436</vt:lpstr>
      <vt:lpstr>SMCS5!_Toc87294437</vt:lpstr>
      <vt:lpstr>SMCS5!_Toc87294438</vt:lpstr>
      <vt:lpstr>SMCS5!_Toc87294439</vt:lpstr>
      <vt:lpstr>SMCS5!_Toc87294440</vt:lpstr>
      <vt:lpstr>SMCS5!_Toc87294441</vt:lpstr>
      <vt:lpstr>SMCS5!Print_Area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Musa</dc:creator>
  <cp:lastModifiedBy>Ashraf Musa</cp:lastModifiedBy>
  <dcterms:created xsi:type="dcterms:W3CDTF">2025-08-22T13:37:52Z</dcterms:created>
  <dcterms:modified xsi:type="dcterms:W3CDTF">2025-08-22T13:37:53Z</dcterms:modified>
</cp:coreProperties>
</file>