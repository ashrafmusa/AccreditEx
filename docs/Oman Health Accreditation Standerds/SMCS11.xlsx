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SAMEH\Downloads\"/>
    </mc:Choice>
  </mc:AlternateContent>
  <bookViews>
    <workbookView xWindow="0" yWindow="0" windowWidth="23040" windowHeight="8784"/>
  </bookViews>
  <sheets>
    <sheet name="SMCS11" sheetId="1" r:id="rId1"/>
  </sheets>
  <definedNames>
    <definedName name="_Toc45702530" localSheetId="0">SMCS11!#REF!</definedName>
    <definedName name="_Toc45702531" localSheetId="0">SMCS11!#REF!</definedName>
    <definedName name="_Toc45702559" localSheetId="0">SMCS11!#REF!</definedName>
    <definedName name="_Toc87294455" localSheetId="0">SMCS11!#REF!</definedName>
    <definedName name="_Toc87295160" localSheetId="0">SMCS11!#REF!</definedName>
    <definedName name="_Toc87295163" localSheetId="0">SMCS11!#REF!</definedName>
    <definedName name="_Toc87295164" localSheetId="0">SMCS11!#REF!</definedName>
    <definedName name="_Toc87295448" localSheetId="0">SMCS11!#REF!</definedName>
    <definedName name="_xlnm.Print_Area" localSheetId="0">SMCS11!$A$1:$F$104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D102" i="1" l="1"/>
  <c r="AC102" i="1"/>
  <c r="AB102" i="1"/>
  <c r="AA102" i="1"/>
  <c r="AD101" i="1"/>
  <c r="AC101" i="1"/>
  <c r="AB101" i="1"/>
  <c r="AA101" i="1"/>
  <c r="AD100" i="1"/>
  <c r="AC100" i="1"/>
  <c r="AB100" i="1"/>
  <c r="AA100" i="1"/>
  <c r="AD99" i="1"/>
  <c r="AC99" i="1"/>
  <c r="AB99" i="1"/>
  <c r="AA99" i="1"/>
  <c r="AF98" i="1" s="1"/>
  <c r="AD97" i="1"/>
  <c r="AC97" i="1"/>
  <c r="AB97" i="1"/>
  <c r="AA97" i="1"/>
  <c r="AD96" i="1"/>
  <c r="AC96" i="1"/>
  <c r="AB96" i="1"/>
  <c r="AA96" i="1"/>
  <c r="AD95" i="1"/>
  <c r="AC95" i="1"/>
  <c r="AB95" i="1"/>
  <c r="AA95" i="1"/>
  <c r="AD94" i="1"/>
  <c r="AC94" i="1"/>
  <c r="AB94" i="1"/>
  <c r="AA94" i="1"/>
  <c r="AD93" i="1"/>
  <c r="AC93" i="1"/>
  <c r="AB93" i="1"/>
  <c r="AA93" i="1"/>
  <c r="AD92" i="1"/>
  <c r="AC92" i="1"/>
  <c r="AB92" i="1"/>
  <c r="AA92" i="1"/>
  <c r="AD91" i="1"/>
  <c r="AC91" i="1"/>
  <c r="AB91" i="1"/>
  <c r="AA91" i="1"/>
  <c r="AF89" i="1" s="1"/>
  <c r="AD90" i="1"/>
  <c r="AC90" i="1"/>
  <c r="AB90" i="1"/>
  <c r="AA90" i="1"/>
  <c r="AD88" i="1"/>
  <c r="AC88" i="1"/>
  <c r="AB88" i="1"/>
  <c r="AA88" i="1"/>
  <c r="AD87" i="1"/>
  <c r="AC87" i="1"/>
  <c r="AB87" i="1"/>
  <c r="AA87" i="1"/>
  <c r="AD86" i="1"/>
  <c r="AC86" i="1"/>
  <c r="AB86" i="1"/>
  <c r="AA86" i="1"/>
  <c r="AD85" i="1"/>
  <c r="AC85" i="1"/>
  <c r="AB85" i="1"/>
  <c r="AA85" i="1"/>
  <c r="AD84" i="1"/>
  <c r="AC84" i="1"/>
  <c r="AB84" i="1"/>
  <c r="AA84" i="1"/>
  <c r="AD83" i="1"/>
  <c r="AC83" i="1"/>
  <c r="AB83" i="1"/>
  <c r="AA83" i="1"/>
  <c r="AD82" i="1"/>
  <c r="AC82" i="1"/>
  <c r="AB82" i="1"/>
  <c r="AA82" i="1"/>
  <c r="AD81" i="1"/>
  <c r="AC81" i="1"/>
  <c r="AB81" i="1"/>
  <c r="AA81" i="1"/>
  <c r="AD80" i="1"/>
  <c r="AC80" i="1"/>
  <c r="AB80" i="1"/>
  <c r="AA80" i="1"/>
  <c r="AD79" i="1"/>
  <c r="AC79" i="1"/>
  <c r="AB79" i="1"/>
  <c r="AA79" i="1"/>
  <c r="AD78" i="1"/>
  <c r="AC78" i="1"/>
  <c r="AB78" i="1"/>
  <c r="AA78" i="1"/>
  <c r="AD77" i="1"/>
  <c r="AC77" i="1"/>
  <c r="AB77" i="1"/>
  <c r="AA77" i="1"/>
  <c r="AD76" i="1"/>
  <c r="AC76" i="1"/>
  <c r="AB76" i="1"/>
  <c r="AA76" i="1"/>
  <c r="AD74" i="1"/>
  <c r="AC74" i="1"/>
  <c r="AB74" i="1"/>
  <c r="AA74" i="1"/>
  <c r="AD73" i="1"/>
  <c r="AC73" i="1"/>
  <c r="AB73" i="1"/>
  <c r="AA73" i="1"/>
  <c r="AD72" i="1"/>
  <c r="AC72" i="1"/>
  <c r="AB72" i="1"/>
  <c r="AA72" i="1"/>
  <c r="AD71" i="1"/>
  <c r="AC71" i="1"/>
  <c r="AB71" i="1"/>
  <c r="AA71" i="1"/>
  <c r="AD70" i="1"/>
  <c r="AC70" i="1"/>
  <c r="AB70" i="1"/>
  <c r="AA70" i="1"/>
  <c r="AD69" i="1"/>
  <c r="AC69" i="1"/>
  <c r="AB69" i="1"/>
  <c r="AA69" i="1"/>
  <c r="AD68" i="1"/>
  <c r="AC68" i="1"/>
  <c r="AB68" i="1"/>
  <c r="AA68" i="1"/>
  <c r="AD67" i="1"/>
  <c r="AC67" i="1"/>
  <c r="AB67" i="1"/>
  <c r="AA67" i="1"/>
  <c r="AD66" i="1"/>
  <c r="AC66" i="1"/>
  <c r="AB66" i="1"/>
  <c r="AA66" i="1"/>
  <c r="AD64" i="1"/>
  <c r="AC64" i="1"/>
  <c r="AB64" i="1"/>
  <c r="AA64" i="1"/>
  <c r="AD63" i="1"/>
  <c r="AC63" i="1"/>
  <c r="AB63" i="1"/>
  <c r="AA63" i="1"/>
  <c r="AD62" i="1"/>
  <c r="AC62" i="1"/>
  <c r="AB62" i="1"/>
  <c r="AA62" i="1"/>
  <c r="AD61" i="1"/>
  <c r="AC61" i="1"/>
  <c r="AB61" i="1"/>
  <c r="AA61" i="1"/>
  <c r="AD60" i="1"/>
  <c r="AC60" i="1"/>
  <c r="AB60" i="1"/>
  <c r="AA60" i="1"/>
  <c r="AD59" i="1"/>
  <c r="AC59" i="1"/>
  <c r="AB59" i="1"/>
  <c r="AA59" i="1"/>
  <c r="AD58" i="1"/>
  <c r="AC58" i="1"/>
  <c r="AB58" i="1"/>
  <c r="AA58" i="1"/>
  <c r="AD57" i="1"/>
  <c r="AC57" i="1"/>
  <c r="AB57" i="1"/>
  <c r="AA57" i="1"/>
  <c r="AD56" i="1"/>
  <c r="AC56" i="1"/>
  <c r="AB56" i="1"/>
  <c r="AA56" i="1"/>
  <c r="AD55" i="1"/>
  <c r="AC55" i="1"/>
  <c r="AB55" i="1"/>
  <c r="AA55" i="1"/>
  <c r="AD54" i="1"/>
  <c r="AC54" i="1"/>
  <c r="AB54" i="1"/>
  <c r="AA54" i="1"/>
  <c r="AD53" i="1"/>
  <c r="AC53" i="1"/>
  <c r="AB53" i="1"/>
  <c r="AA53" i="1"/>
  <c r="AD52" i="1"/>
  <c r="AC52" i="1"/>
  <c r="AB52" i="1"/>
  <c r="AA52" i="1"/>
  <c r="AD51" i="1"/>
  <c r="AC51" i="1"/>
  <c r="AB51" i="1"/>
  <c r="AA51" i="1"/>
  <c r="AD50" i="1"/>
  <c r="AC50" i="1"/>
  <c r="AB50" i="1"/>
  <c r="AA50" i="1"/>
  <c r="AD49" i="1"/>
  <c r="AC49" i="1"/>
  <c r="AB49" i="1"/>
  <c r="AA49" i="1"/>
  <c r="AF47" i="1"/>
  <c r="AE47" i="1"/>
  <c r="E47" i="1" s="1"/>
  <c r="AD46" i="1"/>
  <c r="AC46" i="1"/>
  <c r="AB46" i="1"/>
  <c r="AA46" i="1"/>
  <c r="AD45" i="1"/>
  <c r="AC45" i="1"/>
  <c r="AB45" i="1"/>
  <c r="AA45" i="1"/>
  <c r="AD44" i="1"/>
  <c r="AC44" i="1"/>
  <c r="AB44" i="1"/>
  <c r="AA44" i="1"/>
  <c r="AD43" i="1"/>
  <c r="AC43" i="1"/>
  <c r="AB43" i="1"/>
  <c r="AE41" i="1" s="1"/>
  <c r="E41" i="1" s="1"/>
  <c r="AA43" i="1"/>
  <c r="AD42" i="1"/>
  <c r="AC42" i="1"/>
  <c r="AB42" i="1"/>
  <c r="AA42" i="1"/>
  <c r="AF41" i="1"/>
  <c r="AD40" i="1"/>
  <c r="AC40" i="1"/>
  <c r="AB40" i="1"/>
  <c r="AA40" i="1"/>
  <c r="AD39" i="1"/>
  <c r="AC39" i="1"/>
  <c r="AB39" i="1"/>
  <c r="AA39" i="1"/>
  <c r="AD38" i="1"/>
  <c r="AC38" i="1"/>
  <c r="AB38" i="1"/>
  <c r="AA38" i="1"/>
  <c r="AD37" i="1"/>
  <c r="AC37" i="1"/>
  <c r="AB37" i="1"/>
  <c r="AA37" i="1"/>
  <c r="AD36" i="1"/>
  <c r="AC36" i="1"/>
  <c r="AB36" i="1"/>
  <c r="AA36" i="1"/>
  <c r="AD35" i="1"/>
  <c r="AC35" i="1"/>
  <c r="AB35" i="1"/>
  <c r="AA35" i="1"/>
  <c r="AD34" i="1"/>
  <c r="AC34" i="1"/>
  <c r="AB34" i="1"/>
  <c r="AA34" i="1"/>
  <c r="AD33" i="1"/>
  <c r="AC33" i="1"/>
  <c r="AB33" i="1"/>
  <c r="AA33" i="1"/>
  <c r="AF32" i="1" s="1"/>
  <c r="AD31" i="1"/>
  <c r="AC31" i="1"/>
  <c r="AB31" i="1"/>
  <c r="AA31" i="1"/>
  <c r="AD30" i="1"/>
  <c r="AC30" i="1"/>
  <c r="AB30" i="1"/>
  <c r="AA30" i="1"/>
  <c r="AD29" i="1"/>
  <c r="AC29" i="1"/>
  <c r="AB29" i="1"/>
  <c r="AA29" i="1"/>
  <c r="AD28" i="1"/>
  <c r="AC28" i="1"/>
  <c r="AB28" i="1"/>
  <c r="AA28" i="1"/>
  <c r="AD27" i="1"/>
  <c r="AC27" i="1"/>
  <c r="AB27" i="1"/>
  <c r="AA27" i="1"/>
  <c r="AD26" i="1"/>
  <c r="AC26" i="1"/>
  <c r="AB26" i="1"/>
  <c r="AA26" i="1"/>
  <c r="AD25" i="1"/>
  <c r="AC25" i="1"/>
  <c r="AB25" i="1"/>
  <c r="AA25" i="1"/>
  <c r="AD24" i="1"/>
  <c r="AC24" i="1"/>
  <c r="AB24" i="1"/>
  <c r="AA24" i="1"/>
  <c r="AD23" i="1"/>
  <c r="AC23" i="1"/>
  <c r="AB23" i="1"/>
  <c r="AA23" i="1"/>
  <c r="AD22" i="1"/>
  <c r="AC22" i="1"/>
  <c r="AB22" i="1"/>
  <c r="AA22" i="1"/>
  <c r="AD21" i="1"/>
  <c r="AC21" i="1"/>
  <c r="AB21" i="1"/>
  <c r="AA21" i="1"/>
  <c r="AE19" i="1" s="1"/>
  <c r="E19" i="1" s="1"/>
  <c r="AF19" i="1"/>
  <c r="AD18" i="1"/>
  <c r="AC18" i="1"/>
  <c r="AB18" i="1"/>
  <c r="AA18" i="1"/>
  <c r="AD17" i="1"/>
  <c r="AC17" i="1"/>
  <c r="AB17" i="1"/>
  <c r="AA17" i="1"/>
  <c r="AD16" i="1"/>
  <c r="AC16" i="1"/>
  <c r="AB16" i="1"/>
  <c r="AA16" i="1"/>
  <c r="AD15" i="1"/>
  <c r="AC15" i="1"/>
  <c r="AB15" i="1"/>
  <c r="AA15" i="1"/>
  <c r="AD14" i="1"/>
  <c r="AC14" i="1"/>
  <c r="AB14" i="1"/>
  <c r="AA14" i="1"/>
  <c r="AD13" i="1"/>
  <c r="AC13" i="1"/>
  <c r="AB13" i="1"/>
  <c r="AA13" i="1"/>
  <c r="AD12" i="1"/>
  <c r="AC12" i="1"/>
  <c r="AB12" i="1"/>
  <c r="AA12" i="1"/>
  <c r="AF11" i="1"/>
  <c r="AE11" i="1"/>
  <c r="E11" i="1" s="1"/>
  <c r="AD10" i="1"/>
  <c r="AC10" i="1"/>
  <c r="AB10" i="1"/>
  <c r="AA10" i="1"/>
  <c r="AD9" i="1"/>
  <c r="AC9" i="1"/>
  <c r="AB9" i="1"/>
  <c r="AE7" i="1" s="1"/>
  <c r="E7" i="1" s="1"/>
  <c r="AA9" i="1"/>
  <c r="AD8" i="1"/>
  <c r="AC8" i="1"/>
  <c r="AB8" i="1"/>
  <c r="AA8" i="1"/>
  <c r="AB4" i="1" s="1"/>
  <c r="AF7" i="1"/>
  <c r="AE89" i="1" l="1"/>
  <c r="E89" i="1" s="1"/>
  <c r="AA4" i="1"/>
  <c r="C4" i="1" s="1"/>
  <c r="AE32" i="1"/>
  <c r="E32" i="1" s="1"/>
  <c r="AE98" i="1"/>
  <c r="E98" i="1" s="1"/>
</calcChain>
</file>

<file path=xl/sharedStrings.xml><?xml version="1.0" encoding="utf-8"?>
<sst xmlns="http://schemas.openxmlformats.org/spreadsheetml/2006/main" count="166" uniqueCount="165">
  <si>
    <t xml:space="preserve"> Quality Assurance Center </t>
  </si>
  <si>
    <t xml:space="preserve">Oman Healthcare Accrediation System </t>
  </si>
  <si>
    <t xml:space="preserve">Self Assessment Tool (SAT) </t>
  </si>
  <si>
    <t>Chapter 4</t>
  </si>
  <si>
    <t>Specialized Medical Care Services (SMCS)</t>
  </si>
  <si>
    <t>Conformity Level</t>
  </si>
  <si>
    <t xml:space="preserve">Evidence </t>
  </si>
  <si>
    <t xml:space="preserve">Comments </t>
  </si>
  <si>
    <t>Obstetrics and Gynaecology</t>
  </si>
  <si>
    <t>SMCS.105</t>
  </si>
  <si>
    <t>The director of obstetrics and gynecology department is a qualified physician</t>
  </si>
  <si>
    <t>Total Measures: 3</t>
  </si>
  <si>
    <t>SMCS.105.a</t>
  </si>
  <si>
    <t xml:space="preserve">The head of the obstetrics and gynecology department is an obstetrician who is qualified by education, training and experience </t>
  </si>
  <si>
    <t>SMCS.105.b</t>
  </si>
  <si>
    <t>The head of the department is responsible for monitoring the development and implementation of department policies, guidelines, and protocols.</t>
  </si>
  <si>
    <t>SMCS.105.c</t>
  </si>
  <si>
    <t xml:space="preserve">The department head ensure there is regular monitoring and audits to ensure compliance to the policies. </t>
  </si>
  <si>
    <t>SMCS.106</t>
  </si>
  <si>
    <t xml:space="preserve">The department of obstetrics and gynaecology has well trained, qualified, and competent care medical, midwifes and nursing staff  </t>
  </si>
  <si>
    <t>Total Measures: 7</t>
  </si>
  <si>
    <t>SMCS.106.a</t>
  </si>
  <si>
    <t>The delivery room is covered by registered obstetrician twenty-four hours a day, seven days a week.</t>
  </si>
  <si>
    <t>SMCS.106.b</t>
  </si>
  <si>
    <t xml:space="preserve">All obstetricians are certified in advanced life support in obstetrics (ALSO). </t>
  </si>
  <si>
    <t>SMCS.106.c</t>
  </si>
  <si>
    <t>At time of caesarean section delivery there a qualified pediatrician/ neonatologist available who is certified in neonatal resuscitation program (NRP).</t>
  </si>
  <si>
    <t>SMCS.106.d</t>
  </si>
  <si>
    <t xml:space="preserve">The obstetrics department nurse manager/in charge is qualified registered nurse with training, education, experience in obstetric and midwifery. </t>
  </si>
  <si>
    <t>SMCS.106.e</t>
  </si>
  <si>
    <t>The department bedside nurses are trained and qualified in managing women with obstetric  problems.</t>
  </si>
  <si>
    <t>SMCS.106.f</t>
  </si>
  <si>
    <t xml:space="preserve">The nurse manager monitors the competency of the midwives and nursing staff using checklist. </t>
  </si>
  <si>
    <t>SMCS.106.g</t>
  </si>
  <si>
    <t>The department maintains competency levels of the staff (doctors, nurses).</t>
  </si>
  <si>
    <t>SMCS.107</t>
  </si>
  <si>
    <t>Department of OB/GYN has policies, procedures, clinical pathways to guide the care of women in labour and obstetrical patients.</t>
  </si>
  <si>
    <t>Total Measures: 11</t>
  </si>
  <si>
    <t>SMCS.107.a</t>
  </si>
  <si>
    <t>The department has updated policies and procedures and clinical pathways to guide the care of women in labor and obstetrical patients, these policies include, but are not limited to the following:</t>
  </si>
  <si>
    <r>
      <rPr>
        <sz val="16"/>
        <color rgb="FF000000"/>
        <rFont val="Symbol"/>
        <charset val="2"/>
      </rPr>
      <t>·</t>
    </r>
    <r>
      <rPr>
        <sz val="16"/>
        <color rgb="FF000000"/>
        <rFont val="Times New Roman"/>
        <charset val="134"/>
      </rPr>
      <t>      Assessment and management of women in labor.</t>
    </r>
  </si>
  <si>
    <r>
      <rPr>
        <sz val="16"/>
        <color rgb="FF000000"/>
        <rFont val="Symbol"/>
        <charset val="2"/>
      </rPr>
      <t>·</t>
    </r>
    <r>
      <rPr>
        <sz val="16"/>
        <color rgb="FF000000"/>
        <rFont val="Times New Roman"/>
        <charset val="134"/>
      </rPr>
      <t>      Induction of labor</t>
    </r>
  </si>
  <si>
    <r>
      <rPr>
        <sz val="16"/>
        <color rgb="FF000000"/>
        <rFont val="Symbol"/>
        <charset val="2"/>
      </rPr>
      <t>·</t>
    </r>
    <r>
      <rPr>
        <sz val="16"/>
        <color rgb="FF000000"/>
        <rFont val="Times New Roman"/>
        <charset val="134"/>
      </rPr>
      <t>      The use of episiotomy</t>
    </r>
  </si>
  <si>
    <r>
      <rPr>
        <sz val="16"/>
        <color rgb="FF000000"/>
        <rFont val="Symbol"/>
        <charset val="2"/>
      </rPr>
      <t>·</t>
    </r>
    <r>
      <rPr>
        <sz val="16"/>
        <color rgb="FF000000"/>
        <rFont val="Times New Roman"/>
        <charset val="134"/>
      </rPr>
      <t>      Management of anti-partum and post-partum bleeding</t>
    </r>
  </si>
  <si>
    <r>
      <rPr>
        <sz val="16"/>
        <color rgb="FF000000"/>
        <rFont val="Symbol"/>
        <charset val="2"/>
      </rPr>
      <t>·</t>
    </r>
    <r>
      <rPr>
        <sz val="16"/>
        <color rgb="FF000000"/>
        <rFont val="Times New Roman"/>
        <charset val="134"/>
      </rPr>
      <t>      Management of preeclampsia</t>
    </r>
  </si>
  <si>
    <r>
      <rPr>
        <sz val="16"/>
        <color rgb="FF000000"/>
        <rFont val="Symbol"/>
        <charset val="2"/>
      </rPr>
      <t>·</t>
    </r>
    <r>
      <rPr>
        <sz val="16"/>
        <color rgb="FF000000"/>
        <rFont val="Times New Roman"/>
        <charset val="134"/>
      </rPr>
      <t>      Management of hypertensive disorders in pregnancy</t>
    </r>
  </si>
  <si>
    <r>
      <rPr>
        <sz val="16"/>
        <color rgb="FF000000"/>
        <rFont val="Symbol"/>
        <charset val="2"/>
      </rPr>
      <t>·</t>
    </r>
    <r>
      <rPr>
        <sz val="16"/>
        <color rgb="FF000000"/>
        <rFont val="Times New Roman"/>
        <charset val="134"/>
      </rPr>
      <t>      Infection control measure and guidelines.</t>
    </r>
  </si>
  <si>
    <r>
      <rPr>
        <sz val="16"/>
        <color rgb="FF000000"/>
        <rFont val="Symbol"/>
        <charset val="2"/>
      </rPr>
      <t>·</t>
    </r>
    <r>
      <rPr>
        <sz val="16"/>
        <color rgb="FF000000"/>
        <rFont val="Times New Roman"/>
        <charset val="134"/>
      </rPr>
      <t xml:space="preserve">      Management of pregnant women with diabetes in labor and post-partum </t>
    </r>
  </si>
  <si>
    <t>SMCS.107.b</t>
  </si>
  <si>
    <t xml:space="preserve">All polices were written by collaborative team and approved by head of department and hospital management. </t>
  </si>
  <si>
    <t>SMCS.107.c</t>
  </si>
  <si>
    <t xml:space="preserve">All staff are familiar and oriented with the department policies. </t>
  </si>
  <si>
    <t>SMCS.107.d</t>
  </si>
  <si>
    <t xml:space="preserve">There is regular audit to assess proper implementation of these policies. </t>
  </si>
  <si>
    <t>SMCS.108</t>
  </si>
  <si>
    <t>The Obstetrics and Gynaecology department has a systematic approach for admission and discharge of women.</t>
  </si>
  <si>
    <t>Total Measures: 8</t>
  </si>
  <si>
    <t>SMCS.108.a</t>
  </si>
  <si>
    <t xml:space="preserve">The obstetric department of obstetrics has specific identified admission and discharge and transfer policies. </t>
  </si>
  <si>
    <t>SMCS.108.b</t>
  </si>
  <si>
    <t xml:space="preserve">The criteria are developed collaboratively with other relevant departments, covering gestational age of women, and the available resources. </t>
  </si>
  <si>
    <t>SMCS.108.c</t>
  </si>
  <si>
    <t>The department has evaluation process for admission through a triage system</t>
  </si>
  <si>
    <t>SMCS.108.d</t>
  </si>
  <si>
    <t>Planning for discharge/ transfer /follow-up started at admission</t>
  </si>
  <si>
    <t>SMCS.108.e</t>
  </si>
  <si>
    <t xml:space="preserve">All staff are trained on the admission and discharge criteria </t>
  </si>
  <si>
    <t>SMCS.105.f</t>
  </si>
  <si>
    <t>The patient readiness for discharge/transfer/follow-up is assessed and documented and follow-up requirements are determined</t>
  </si>
  <si>
    <t>SMCS.108.g</t>
  </si>
  <si>
    <t>Checklist is completed for each patient prior to discharge or transfer.</t>
  </si>
  <si>
    <t>SMCS.108.h</t>
  </si>
  <si>
    <t xml:space="preserve">There is audit and monitoring process to assess compliance </t>
  </si>
  <si>
    <t>SMCS.109</t>
  </si>
  <si>
    <t>The Obstetrics and gynecology department has an individualized clinical assessment and management plan.</t>
  </si>
  <si>
    <t>Total Measures: 5</t>
  </si>
  <si>
    <t>SMCS.109.a</t>
  </si>
  <si>
    <t>Patient history taking with clinical assessment is carried out and documented during the initial contact with the patient.</t>
  </si>
  <si>
    <t>SMCS.109.b</t>
  </si>
  <si>
    <t>The patient’s assessment and documented carried out by caregivers (e.g., doctors, midwives, nurses, etc.)</t>
  </si>
  <si>
    <t>SMCS.109.c</t>
  </si>
  <si>
    <t>Senior input is obtained according to the assessment of the patient’s clinical condition.</t>
  </si>
  <si>
    <t>SMCS.109.d</t>
  </si>
  <si>
    <t>Care plan is initiated and modified as required, then clearly communicated to other care providers.</t>
  </si>
  <si>
    <t>SMCS.109.e</t>
  </si>
  <si>
    <t>The care plan is reviewed and modified as required and clearly communicated to the patient and family who participate in the decision about plan of care.</t>
  </si>
  <si>
    <r>
      <rPr>
        <b/>
        <sz val="16"/>
        <color theme="1"/>
        <rFont val="Times New Roman"/>
        <charset val="134"/>
      </rPr>
      <t xml:space="preserve">MSCS.110 </t>
    </r>
    <r>
      <rPr>
        <sz val="16"/>
        <color theme="1"/>
        <rFont val="Times New Roman"/>
        <charset val="134"/>
      </rPr>
      <t xml:space="preserve"> </t>
    </r>
  </si>
  <si>
    <t>The Obstetrics and gynecology unit has adequate medical equipment, physical facilities, and essential medications for the provision of safe care.</t>
  </si>
  <si>
    <t>Total Measures: 38</t>
  </si>
  <si>
    <t xml:space="preserve">MSCS.110.a </t>
  </si>
  <si>
    <t xml:space="preserve">The Obstetrics and Gynecology department has appropriate physical facilities, including: </t>
  </si>
  <si>
    <r>
      <rPr>
        <sz val="16"/>
        <color rgb="FF000000"/>
        <rFont val="Symbol"/>
        <charset val="2"/>
      </rPr>
      <t>·</t>
    </r>
    <r>
      <rPr>
        <sz val="16"/>
        <color theme="1"/>
        <rFont val="Times New Roman"/>
        <charset val="134"/>
      </rPr>
      <t>         Space for the patient to receive necessary care (at bedside or in treatment area).</t>
    </r>
  </si>
  <si>
    <r>
      <rPr>
        <sz val="16"/>
        <color rgb="FF000000"/>
        <rFont val="Symbol"/>
        <charset val="2"/>
      </rPr>
      <t>·</t>
    </r>
    <r>
      <rPr>
        <sz val="16"/>
        <color theme="1"/>
        <rFont val="Times New Roman"/>
        <charset val="134"/>
      </rPr>
      <t>         Nursery facilities for newborns.</t>
    </r>
  </si>
  <si>
    <r>
      <rPr>
        <sz val="16"/>
        <color rgb="FF000000"/>
        <rFont val="Symbol"/>
        <charset val="2"/>
      </rPr>
      <t>·</t>
    </r>
    <r>
      <rPr>
        <sz val="16"/>
        <color theme="1"/>
        <rFont val="Times New Roman"/>
        <charset val="134"/>
      </rPr>
      <t>         Bathing and toilet facilities.</t>
    </r>
  </si>
  <si>
    <r>
      <rPr>
        <sz val="16"/>
        <color rgb="FF000000"/>
        <rFont val="Symbol"/>
        <charset val="2"/>
      </rPr>
      <t>·</t>
    </r>
    <r>
      <rPr>
        <sz val="16"/>
        <color theme="1"/>
        <rFont val="Times New Roman"/>
        <charset val="134"/>
      </rPr>
      <t xml:space="preserve">         Nursing stations to adequately accommodate all functions that must take place. </t>
    </r>
  </si>
  <si>
    <r>
      <rPr>
        <sz val="16"/>
        <color rgb="FF000000"/>
        <rFont val="Symbol"/>
        <charset val="2"/>
      </rPr>
      <t>·</t>
    </r>
    <r>
      <rPr>
        <sz val="16"/>
        <color theme="1"/>
        <rFont val="Times New Roman"/>
        <charset val="134"/>
      </rPr>
      <t>         Operating rooms and delivery suite facilities.</t>
    </r>
  </si>
  <si>
    <r>
      <rPr>
        <sz val="16"/>
        <color rgb="FF000000"/>
        <rFont val="Symbol"/>
        <charset val="2"/>
      </rPr>
      <t>·</t>
    </r>
    <r>
      <rPr>
        <sz val="16"/>
        <color theme="1"/>
        <rFont val="Times New Roman"/>
        <charset val="134"/>
      </rPr>
      <t>         Operating rooms with appropriate airflow systems and with restricted entry.</t>
    </r>
  </si>
  <si>
    <r>
      <rPr>
        <sz val="16"/>
        <color rgb="FF000000"/>
        <rFont val="Symbol"/>
        <charset val="2"/>
      </rPr>
      <t>·</t>
    </r>
    <r>
      <rPr>
        <sz val="16"/>
        <color theme="1"/>
        <rFont val="Times New Roman"/>
        <charset val="134"/>
      </rPr>
      <t>         Anti-static flooring and appropriately grounded electrical circuits.</t>
    </r>
  </si>
  <si>
    <r>
      <rPr>
        <sz val="16"/>
        <color rgb="FF000000"/>
        <rFont val="Symbol"/>
        <charset val="2"/>
      </rPr>
      <t>·</t>
    </r>
    <r>
      <rPr>
        <sz val="16"/>
        <color theme="1"/>
        <rFont val="Times New Roman"/>
        <charset val="134"/>
      </rPr>
      <t>         An uninterrupted power supply.</t>
    </r>
  </si>
  <si>
    <r>
      <rPr>
        <sz val="16"/>
        <color rgb="FF000000"/>
        <rFont val="Symbol"/>
        <charset val="2"/>
      </rPr>
      <t>·</t>
    </r>
    <r>
      <rPr>
        <sz val="16"/>
        <color theme="1"/>
        <rFont val="Times New Roman"/>
        <charset val="134"/>
      </rPr>
      <t>         Effectively positioned hand washing (scrub) facilities.</t>
    </r>
  </si>
  <si>
    <r>
      <rPr>
        <sz val="16"/>
        <color rgb="FF000000"/>
        <rFont val="Symbol"/>
        <charset val="2"/>
      </rPr>
      <t>·</t>
    </r>
    <r>
      <rPr>
        <sz val="16"/>
        <color theme="1"/>
        <rFont val="Times New Roman"/>
        <charset val="134"/>
      </rPr>
      <t>         Separate change rooms for male and female staff.</t>
    </r>
  </si>
  <si>
    <r>
      <rPr>
        <sz val="16"/>
        <color rgb="FF000000"/>
        <rFont val="Symbol"/>
        <charset val="2"/>
      </rPr>
      <t>·</t>
    </r>
    <r>
      <rPr>
        <sz val="16"/>
        <color theme="1"/>
        <rFont val="Times New Roman"/>
        <charset val="134"/>
      </rPr>
      <t>         Post anesthetic recovery area located next to operating rooms.</t>
    </r>
  </si>
  <si>
    <r>
      <rPr>
        <sz val="16"/>
        <color rgb="FF000000"/>
        <rFont val="Symbol"/>
        <charset val="2"/>
      </rPr>
      <t>·</t>
    </r>
    <r>
      <rPr>
        <sz val="16"/>
        <color theme="1"/>
        <rFont val="Times New Roman"/>
        <charset val="134"/>
      </rPr>
      <t>         Appropriate storage of medication, equipment, and supplies.</t>
    </r>
  </si>
  <si>
    <r>
      <rPr>
        <sz val="16"/>
        <color rgb="FF000000"/>
        <rFont val="Symbol"/>
        <charset val="2"/>
      </rPr>
      <t>·</t>
    </r>
    <r>
      <rPr>
        <sz val="16"/>
        <color theme="1"/>
        <rFont val="Times New Roman"/>
        <charset val="134"/>
      </rPr>
      <t xml:space="preserve">         Safe facilities that protect against infection (all surfaces in the operating rooms are smooth and non-porous). </t>
    </r>
  </si>
  <si>
    <r>
      <rPr>
        <sz val="16"/>
        <color rgb="FF000000"/>
        <rFont val="Symbol"/>
        <charset val="2"/>
      </rPr>
      <t>·</t>
    </r>
    <r>
      <rPr>
        <sz val="16"/>
        <color theme="1"/>
        <rFont val="Times New Roman"/>
        <charset val="134"/>
      </rPr>
      <t>         Ambulatory care area includes consultation and examination areas.</t>
    </r>
  </si>
  <si>
    <r>
      <rPr>
        <sz val="16"/>
        <color rgb="FF000000"/>
        <rFont val="Symbol"/>
        <charset val="2"/>
      </rPr>
      <t>·</t>
    </r>
    <r>
      <rPr>
        <sz val="16"/>
        <color theme="1"/>
        <rFont val="Times New Roman"/>
        <charset val="134"/>
      </rPr>
      <t>         Labour rooms (first stage of labour) are located in proximity to delivery room.</t>
    </r>
  </si>
  <si>
    <r>
      <rPr>
        <sz val="16"/>
        <color rgb="FF000000"/>
        <rFont val="Symbol"/>
        <charset val="2"/>
      </rPr>
      <t>·</t>
    </r>
    <r>
      <rPr>
        <sz val="16"/>
        <color theme="1"/>
        <rFont val="Times New Roman"/>
        <charset val="134"/>
      </rPr>
      <t>         Operating room is in close proximity to delivery suite and readily available for crash and emergency caesarian sections or other post-partum complications.</t>
    </r>
  </si>
  <si>
    <t xml:space="preserve">MSCS.110.b  </t>
  </si>
  <si>
    <t xml:space="preserve">The Obstetrics and Gynecology department have appropriate medical equipment required for provision of care, including but are not limited to, the following: </t>
  </si>
  <si>
    <r>
      <rPr>
        <sz val="16"/>
        <color rgb="FF000000"/>
        <rFont val="Symbol"/>
        <charset val="2"/>
      </rPr>
      <t>·</t>
    </r>
    <r>
      <rPr>
        <sz val="16"/>
        <color theme="1"/>
        <rFont val="Times New Roman"/>
        <charset val="134"/>
      </rPr>
      <t>         Anesthetic equipment.</t>
    </r>
  </si>
  <si>
    <r>
      <rPr>
        <sz val="16"/>
        <color rgb="FF000000"/>
        <rFont val="Symbol"/>
        <charset val="2"/>
      </rPr>
      <t>·</t>
    </r>
    <r>
      <rPr>
        <sz val="16"/>
        <color theme="1"/>
        <rFont val="Times New Roman"/>
        <charset val="134"/>
      </rPr>
      <t>         Intercom facilities.</t>
    </r>
  </si>
  <si>
    <r>
      <rPr>
        <sz val="16"/>
        <color rgb="FF000000"/>
        <rFont val="Symbol"/>
        <charset val="2"/>
      </rPr>
      <t>·</t>
    </r>
    <r>
      <rPr>
        <sz val="16"/>
        <color theme="1"/>
        <rFont val="Times New Roman"/>
        <charset val="134"/>
      </rPr>
      <t>         Crash carts, with different sizes of equipment for adults and neonates.</t>
    </r>
  </si>
  <si>
    <r>
      <rPr>
        <sz val="16"/>
        <color rgb="FF000000"/>
        <rFont val="Symbol"/>
        <charset val="2"/>
      </rPr>
      <t>·</t>
    </r>
    <r>
      <rPr>
        <sz val="16"/>
        <color theme="1"/>
        <rFont val="Times New Roman"/>
        <charset val="134"/>
      </rPr>
      <t>         Caesarian section set.</t>
    </r>
  </si>
  <si>
    <r>
      <rPr>
        <sz val="16"/>
        <color rgb="FF000000"/>
        <rFont val="Symbol"/>
        <charset val="2"/>
      </rPr>
      <t>·</t>
    </r>
    <r>
      <rPr>
        <sz val="16"/>
        <color theme="1"/>
        <rFont val="Times New Roman"/>
        <charset val="134"/>
      </rPr>
      <t>         Fetal and maternal monitoring device.</t>
    </r>
  </si>
  <si>
    <r>
      <rPr>
        <sz val="16"/>
        <color rgb="FF000000"/>
        <rFont val="Symbol"/>
        <charset val="2"/>
      </rPr>
      <t>·</t>
    </r>
    <r>
      <rPr>
        <sz val="16"/>
        <color theme="1"/>
        <rFont val="Times New Roman"/>
        <charset val="134"/>
      </rPr>
      <t>         Equipped delivery room.</t>
    </r>
  </si>
  <si>
    <r>
      <rPr>
        <sz val="16"/>
        <color rgb="FF000000"/>
        <rFont val="Symbol"/>
        <charset val="2"/>
      </rPr>
      <t>·</t>
    </r>
    <r>
      <rPr>
        <sz val="16"/>
        <color theme="1"/>
        <rFont val="Times New Roman"/>
        <charset val="134"/>
      </rPr>
      <t>         Equipped neonatal resuscitation table is in each delivery room and operating rooms where caesarian sections may take place.</t>
    </r>
  </si>
  <si>
    <r>
      <rPr>
        <sz val="16"/>
        <color rgb="FF000000"/>
        <rFont val="Symbol"/>
        <charset val="2"/>
      </rPr>
      <t>·</t>
    </r>
    <r>
      <rPr>
        <sz val="16"/>
        <color theme="1"/>
        <rFont val="Times New Roman"/>
        <charset val="134"/>
      </rPr>
      <t>         Reticulated and/or portable oxygen and suction equipment.</t>
    </r>
  </si>
  <si>
    <r>
      <rPr>
        <sz val="16"/>
        <color theme="1"/>
        <rFont val="Symbol"/>
        <charset val="2"/>
      </rPr>
      <t>·</t>
    </r>
    <r>
      <rPr>
        <sz val="16"/>
        <color theme="1"/>
        <rFont val="Times New Roman"/>
        <charset val="134"/>
      </rPr>
      <t>         Equipped nursery.</t>
    </r>
  </si>
  <si>
    <t xml:space="preserve">MSCS.110.c  </t>
  </si>
  <si>
    <t>The Obstetrics and Gynecology department has essential medication required for safe care including, but are not limited to:</t>
  </si>
  <si>
    <r>
      <rPr>
        <sz val="16"/>
        <color rgb="FF000000"/>
        <rFont val="Symbol"/>
        <charset val="2"/>
      </rPr>
      <t>·</t>
    </r>
    <r>
      <rPr>
        <sz val="16"/>
        <color theme="1"/>
        <rFont val="Times New Roman"/>
        <charset val="134"/>
      </rPr>
      <t>         Oxytocin.</t>
    </r>
  </si>
  <si>
    <r>
      <rPr>
        <sz val="16"/>
        <color rgb="FF000000"/>
        <rFont val="Symbol"/>
        <charset val="2"/>
      </rPr>
      <t>·</t>
    </r>
    <r>
      <rPr>
        <sz val="16"/>
        <color theme="1"/>
        <rFont val="Times New Roman"/>
        <charset val="134"/>
      </rPr>
      <t>         Syntometrine.</t>
    </r>
  </si>
  <si>
    <r>
      <rPr>
        <sz val="16"/>
        <color rgb="FF000000"/>
        <rFont val="Symbol"/>
        <charset val="2"/>
      </rPr>
      <t>·</t>
    </r>
    <r>
      <rPr>
        <sz val="16"/>
        <color theme="1"/>
        <rFont val="Times New Roman"/>
        <charset val="134"/>
      </rPr>
      <t>         Magnesium Sulphate.</t>
    </r>
  </si>
  <si>
    <r>
      <rPr>
        <sz val="16"/>
        <color rgb="FF000000"/>
        <rFont val="Symbol"/>
        <charset val="2"/>
      </rPr>
      <t>·</t>
    </r>
    <r>
      <rPr>
        <sz val="16"/>
        <color theme="1"/>
        <rFont val="Times New Roman"/>
        <charset val="134"/>
      </rPr>
      <t>         Calcium gluconate.</t>
    </r>
  </si>
  <si>
    <r>
      <rPr>
        <sz val="16"/>
        <color rgb="FF000000"/>
        <rFont val="Symbol"/>
        <charset val="2"/>
      </rPr>
      <t>·</t>
    </r>
    <r>
      <rPr>
        <sz val="16"/>
        <color theme="1"/>
        <rFont val="Times New Roman"/>
        <charset val="134"/>
      </rPr>
      <t>         Xylocaine.</t>
    </r>
  </si>
  <si>
    <r>
      <rPr>
        <sz val="16"/>
        <color rgb="FF000000"/>
        <rFont val="Symbol"/>
        <charset val="2"/>
      </rPr>
      <t>·</t>
    </r>
    <r>
      <rPr>
        <sz val="16"/>
        <color theme="1"/>
        <rFont val="Times New Roman"/>
        <charset val="134"/>
      </rPr>
      <t>         Vitamin K.</t>
    </r>
  </si>
  <si>
    <r>
      <rPr>
        <sz val="16"/>
        <color rgb="FF000000"/>
        <rFont val="Symbol"/>
        <charset val="2"/>
      </rPr>
      <t>·</t>
    </r>
    <r>
      <rPr>
        <sz val="16"/>
        <color theme="1"/>
        <rFont val="Times New Roman"/>
        <charset val="134"/>
      </rPr>
      <t>         Prostaglandin.</t>
    </r>
  </si>
  <si>
    <r>
      <rPr>
        <sz val="16"/>
        <color rgb="FF000000"/>
        <rFont val="Symbol"/>
        <charset val="2"/>
      </rPr>
      <t>·</t>
    </r>
    <r>
      <rPr>
        <sz val="16"/>
        <color theme="1"/>
        <rFont val="Times New Roman"/>
        <charset val="134"/>
      </rPr>
      <t>         Misoprostol.</t>
    </r>
  </si>
  <si>
    <r>
      <rPr>
        <sz val="16"/>
        <color rgb="FF000000"/>
        <rFont val="Symbol"/>
        <charset val="2"/>
      </rPr>
      <t>·</t>
    </r>
    <r>
      <rPr>
        <sz val="16"/>
        <color theme="1"/>
        <rFont val="Times New Roman"/>
        <charset val="134"/>
      </rPr>
      <t>         Carboprost.</t>
    </r>
  </si>
  <si>
    <r>
      <rPr>
        <sz val="16"/>
        <color rgb="FF000000"/>
        <rFont val="Symbol"/>
        <charset val="2"/>
      </rPr>
      <t>·</t>
    </r>
    <r>
      <rPr>
        <sz val="16"/>
        <color theme="1"/>
        <rFont val="Times New Roman"/>
        <charset val="134"/>
      </rPr>
      <t>        Tocolytic medication..</t>
    </r>
  </si>
  <si>
    <t>MSCS.110.d</t>
  </si>
  <si>
    <t>All staff are trained on the use of the equipment and medications.</t>
  </si>
  <si>
    <t>MSCS.110.e</t>
  </si>
  <si>
    <t>The unit has designated storage area for equipment.</t>
  </si>
  <si>
    <t>MSCS.110.f</t>
  </si>
  <si>
    <t>The unit has an access to emergency equipment, and any new set or new supply</t>
  </si>
  <si>
    <t xml:space="preserve">MSCS.111 </t>
  </si>
  <si>
    <t>The Obstetrics and Gynecology department strictly follows and supervises infection control and prevention practices.</t>
  </si>
  <si>
    <t>MSCS.111.a</t>
  </si>
  <si>
    <t xml:space="preserve">The Obstetrics and Gynecology department follows hospital infection control and prevention guidelines. </t>
  </si>
  <si>
    <t>MSCS.111.b</t>
  </si>
  <si>
    <t>All Obstetrics and Gynecology department staff are well trained and oriented to the infection control guidelines applied to the unit. The unit allocate champion to monitor infection within the unit.</t>
  </si>
  <si>
    <t>MSCS.111.c</t>
  </si>
  <si>
    <t xml:space="preserve">The Obstetrics and Gynecology department is maintained clean and disinfected.  </t>
  </si>
  <si>
    <t>MSCS.111.d</t>
  </si>
  <si>
    <t>Standard precautions are strictly followed in the Obstetrics and Gynecology department unit with strict emphasis on the hand hygiene, appropriate PPEs and other barriers.</t>
  </si>
  <si>
    <t>MSCS.111.e</t>
  </si>
  <si>
    <t xml:space="preserve">All Obstetrics and Gynecology department equipment and rooms are clean and disinfected as per the hospital guidelines. </t>
  </si>
  <si>
    <t>MSCS.111.f</t>
  </si>
  <si>
    <t xml:space="preserve">The labour room scrub suits are only allowed inside the restricted areas. </t>
  </si>
  <si>
    <t>MSCS.111.g</t>
  </si>
  <si>
    <t>There is clear guideline on management, and proper handling of patients with infectious diseases.</t>
  </si>
  <si>
    <t>MSCS.111.h</t>
  </si>
  <si>
    <t>There is regular audit to assess compliance to those policies.</t>
  </si>
  <si>
    <r>
      <rPr>
        <b/>
        <sz val="16"/>
        <color theme="1"/>
        <rFont val="Times New Roman"/>
        <charset val="134"/>
      </rPr>
      <t>MSCS.112</t>
    </r>
    <r>
      <rPr>
        <sz val="16"/>
        <color theme="1"/>
        <rFont val="Times New Roman"/>
        <charset val="134"/>
      </rPr>
      <t xml:space="preserve"> </t>
    </r>
  </si>
  <si>
    <t xml:space="preserve">The Obstetrics and Gynecology department has an implemented quality and safety improvement plan. </t>
  </si>
  <si>
    <t>Total Measures: 4</t>
  </si>
  <si>
    <t>MSCS.112 a</t>
  </si>
  <si>
    <t>The Obstetrics and Gynecology department has a clear implemented quality and safety improvement plan.</t>
  </si>
  <si>
    <t>MSCS.112.b</t>
  </si>
  <si>
    <t>The department has list of performance indicators, which are monitored as part of the quality improvement activities.</t>
  </si>
  <si>
    <t>MSCS.112.c</t>
  </si>
  <si>
    <t>The department quality activities are aligned with hospital quality activities.</t>
  </si>
  <si>
    <t>MSCS.112.d</t>
  </si>
  <si>
    <t>The Obstetrics and Gynecology department staff are aware of quality improvement activities and department indicators.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</si>
</sst>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font>
      <sz val="12"/>
      <color theme="1"/>
      <name val="Calibri"/>
      <charset val="134"/>
      <scheme val="minor"/>
    </font>
    <font>
      <b/>
      <sz val="16"/>
      <color rgb="FF000000"/>
      <name val="Times New Roman"/>
      <charset val="134"/>
    </font>
    <font>
      <sz val="16"/>
      <color rgb="FF000000"/>
      <name val="Calibri"/>
      <charset val="134"/>
      <scheme val="minor"/>
    </font>
    <font>
      <sz val="11"/>
      <color rgb="FF9C6500"/>
      <name val="Calibri"/>
      <charset val="134"/>
      <scheme val="minor"/>
    </font>
    <font>
      <b/>
      <sz val="20"/>
      <color rgb="FFC00000"/>
      <name val="Calibri"/>
      <charset val="134"/>
      <scheme val="minor"/>
    </font>
    <font>
      <b/>
      <sz val="16"/>
      <name val="Times New Roman"/>
      <charset val="134"/>
    </font>
    <font>
      <b/>
      <sz val="12"/>
      <color rgb="FF000000"/>
      <name val="Times New Roman"/>
      <charset val="134"/>
    </font>
    <font>
      <b/>
      <sz val="14"/>
      <color rgb="FF000000"/>
      <name val="Times New Roman"/>
      <charset val="134"/>
    </font>
    <font>
      <b/>
      <sz val="16"/>
      <color theme="1"/>
      <name val="Times New Roman"/>
      <charset val="134"/>
    </font>
    <font>
      <b/>
      <sz val="14"/>
      <color theme="1"/>
      <name val="Times New Roman"/>
      <charset val="134"/>
    </font>
    <font>
      <sz val="16"/>
      <color theme="1"/>
      <name val="Times New Roman"/>
      <charset val="134"/>
    </font>
    <font>
      <sz val="16"/>
      <color theme="1"/>
      <name val="Calibri"/>
      <charset val="134"/>
      <scheme val="minor"/>
    </font>
    <font>
      <sz val="16"/>
      <color rgb="FF000000"/>
      <name val="Symbol"/>
      <charset val="2"/>
    </font>
    <font>
      <sz val="16"/>
      <color rgb="FF000000"/>
      <name val="Times New Roman"/>
      <charset val="134"/>
    </font>
    <font>
      <sz val="16"/>
      <color theme="1"/>
      <name val="Symbol"/>
      <charset val="2"/>
    </font>
  </fonts>
  <fills count="13">
    <fill>
      <patternFill patternType="none"/>
    </fill>
    <fill>
      <patternFill patternType="gray125"/>
    </fill>
    <fill>
      <patternFill patternType="solid">
        <fgColor rgb="FFE4DFEC"/>
        <bgColor rgb="FF000000"/>
      </patternFill>
    </fill>
    <fill>
      <patternFill patternType="solid">
        <fgColor rgb="FFDDD9C4"/>
        <bgColor rgb="FF000000"/>
      </patternFill>
    </fill>
    <fill>
      <patternFill patternType="solid">
        <fgColor rgb="FFF2F2F2"/>
        <bgColor rgb="FF000000"/>
      </patternFill>
    </fill>
    <fill>
      <patternFill patternType="solid">
        <fgColor rgb="FFFFEB9C"/>
        <bgColor indexed="64"/>
      </patternFill>
    </fill>
    <fill>
      <patternFill patternType="solid">
        <fgColor rgb="FFCCFFCC"/>
        <bgColor indexed="64"/>
      </patternFill>
    </fill>
    <fill>
      <patternFill patternType="solid">
        <fgColor rgb="FFF79646"/>
        <bgColor rgb="FF000000"/>
      </patternFill>
    </fill>
    <fill>
      <patternFill patternType="solid">
        <fgColor rgb="FFFFFF00"/>
        <bgColor indexed="64"/>
      </patternFill>
    </fill>
    <fill>
      <patternFill patternType="solid">
        <fgColor theme="4" tint="0.59999389629810485"/>
        <bgColor indexed="64"/>
      </patternFill>
    </fill>
    <fill>
      <patternFill patternType="solid">
        <fgColor theme="9" tint="0.79995117038483843"/>
        <bgColor indexed="64"/>
      </patternFill>
    </fill>
    <fill>
      <patternFill patternType="solid">
        <fgColor rgb="FFFFFFFF"/>
        <bgColor indexed="64"/>
      </patternFill>
    </fill>
    <fill>
      <patternFill patternType="solid">
        <fgColor theme="5" tint="0.59999389629810485"/>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ck">
        <color auto="1"/>
      </bottom>
      <diagonal/>
    </border>
    <border>
      <left/>
      <right/>
      <top style="thin">
        <color auto="1"/>
      </top>
      <bottom style="thick">
        <color auto="1"/>
      </bottom>
      <diagonal/>
    </border>
    <border>
      <left style="thick">
        <color auto="1"/>
      </left>
      <right/>
      <top style="thin">
        <color auto="1"/>
      </top>
      <bottom style="thick">
        <color auto="1"/>
      </bottom>
      <diagonal/>
    </border>
    <border>
      <left/>
      <right style="thin">
        <color auto="1"/>
      </right>
      <top style="thin">
        <color auto="1"/>
      </top>
      <bottom style="thick">
        <color auto="1"/>
      </bottom>
      <diagonal/>
    </border>
    <border>
      <left style="thick">
        <color auto="1"/>
      </left>
      <right style="thick">
        <color auto="1"/>
      </right>
      <top style="thick">
        <color auto="1"/>
      </top>
      <bottom style="thick">
        <color auto="1"/>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right style="thick">
        <color auto="1"/>
      </right>
      <top style="thick">
        <color auto="1"/>
      </top>
      <bottom/>
      <diagonal/>
    </border>
    <border>
      <left style="thick">
        <color auto="1"/>
      </left>
      <right style="thick">
        <color auto="1"/>
      </right>
      <top style="thick">
        <color auto="1"/>
      </top>
      <bottom/>
      <diagonal/>
    </border>
    <border>
      <left style="thick">
        <color auto="1"/>
      </left>
      <right style="thick">
        <color auto="1"/>
      </right>
      <top/>
      <bottom/>
      <diagonal/>
    </border>
    <border>
      <left style="thick">
        <color auto="1"/>
      </left>
      <right style="thick">
        <color auto="1"/>
      </right>
      <top/>
      <bottom style="thick">
        <color auto="1"/>
      </bottom>
      <diagonal/>
    </border>
    <border>
      <left style="medium">
        <color auto="1"/>
      </left>
      <right style="medium">
        <color auto="1"/>
      </right>
      <top style="medium">
        <color auto="1"/>
      </top>
      <bottom/>
      <diagonal/>
    </border>
    <border>
      <left style="medium">
        <color auto="1"/>
      </left>
      <right style="medium">
        <color auto="1"/>
      </right>
      <top style="thick">
        <color auto="1"/>
      </top>
      <bottom/>
      <diagonal/>
    </border>
    <border>
      <left style="medium">
        <color auto="1"/>
      </left>
      <right style="medium">
        <color auto="1"/>
      </right>
      <top style="thick">
        <color auto="1"/>
      </top>
      <bottom style="thick">
        <color auto="1"/>
      </bottom>
      <diagonal/>
    </border>
  </borders>
  <cellStyleXfs count="2">
    <xf numFmtId="0" fontId="0" fillId="0" borderId="0"/>
    <xf numFmtId="0" fontId="3" fillId="5" borderId="0" applyNumberFormat="0" applyBorder="0" applyAlignment="0" applyProtection="0"/>
  </cellStyleXfs>
  <cellXfs count="57">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4" borderId="1" xfId="0" applyFont="1" applyFill="1" applyBorder="1" applyAlignment="1">
      <alignment horizontal="center" vertical="center"/>
    </xf>
    <xf numFmtId="0" fontId="1" fillId="4" borderId="2" xfId="0" applyFont="1" applyFill="1" applyBorder="1" applyAlignment="1">
      <alignment horizontal="center" vertical="center"/>
    </xf>
    <xf numFmtId="0" fontId="1" fillId="4" borderId="3" xfId="0" applyFont="1" applyFill="1" applyBorder="1" applyAlignment="1">
      <alignment horizontal="center" vertical="center"/>
    </xf>
    <xf numFmtId="0" fontId="2" fillId="4" borderId="4" xfId="0" applyFont="1" applyFill="1" applyBorder="1"/>
    <xf numFmtId="0" fontId="1" fillId="4" borderId="5" xfId="0" applyFont="1" applyFill="1" applyBorder="1" applyAlignment="1">
      <alignment horizontal="center" vertical="center"/>
    </xf>
    <xf numFmtId="0" fontId="4" fillId="5" borderId="6" xfId="1" applyFont="1" applyBorder="1" applyAlignment="1">
      <alignment horizontal="center" vertical="center"/>
    </xf>
    <xf numFmtId="0" fontId="4" fillId="5" borderId="5" xfId="1" applyFont="1" applyBorder="1" applyAlignment="1">
      <alignment horizontal="center" vertical="center"/>
    </xf>
    <xf numFmtId="0" fontId="4" fillId="5" borderId="7" xfId="1" applyFont="1" applyBorder="1" applyAlignment="1">
      <alignment horizontal="center" vertical="center"/>
    </xf>
    <xf numFmtId="0" fontId="5" fillId="6" borderId="8" xfId="0" applyFont="1" applyFill="1" applyBorder="1" applyAlignment="1">
      <alignment horizontal="center" vertical="center"/>
    </xf>
    <xf numFmtId="0" fontId="5" fillId="6" borderId="8" xfId="0" applyFont="1" applyFill="1" applyBorder="1" applyAlignment="1">
      <alignment vertical="center"/>
    </xf>
    <xf numFmtId="0" fontId="6" fillId="7" borderId="8" xfId="0" applyFont="1" applyFill="1" applyBorder="1" applyAlignment="1">
      <alignment horizontal="center" vertical="center"/>
    </xf>
    <xf numFmtId="0" fontId="7" fillId="7" borderId="8" xfId="0" applyFont="1" applyFill="1" applyBorder="1" applyAlignment="1">
      <alignment horizontal="center" vertical="center"/>
    </xf>
    <xf numFmtId="0" fontId="8" fillId="8" borderId="9" xfId="0" applyFont="1" applyFill="1" applyBorder="1" applyAlignment="1">
      <alignment horizontal="center" vertical="center"/>
    </xf>
    <xf numFmtId="0" fontId="8" fillId="8" borderId="10" xfId="0" applyFont="1" applyFill="1" applyBorder="1" applyAlignment="1">
      <alignment horizontal="center" vertical="center"/>
    </xf>
    <xf numFmtId="0" fontId="8" fillId="8" borderId="11" xfId="0" applyFont="1" applyFill="1" applyBorder="1" applyAlignment="1">
      <alignment horizontal="center" vertical="center"/>
    </xf>
    <xf numFmtId="0" fontId="8" fillId="9" borderId="8" xfId="0" applyFont="1" applyFill="1" applyBorder="1" applyAlignment="1">
      <alignment vertical="center" wrapText="1"/>
    </xf>
    <xf numFmtId="0" fontId="9" fillId="9" borderId="9" xfId="0" applyFont="1" applyFill="1" applyBorder="1" applyAlignment="1">
      <alignment horizontal="left" vertical="center"/>
    </xf>
    <xf numFmtId="0" fontId="9" fillId="9" borderId="11" xfId="0" applyFont="1" applyFill="1" applyBorder="1" applyAlignment="1">
      <alignment horizontal="left" vertical="center"/>
    </xf>
    <xf numFmtId="0" fontId="9" fillId="9" borderId="12" xfId="0" applyFont="1" applyFill="1" applyBorder="1" applyAlignment="1">
      <alignment horizontal="left" vertical="center"/>
    </xf>
    <xf numFmtId="0" fontId="5" fillId="10" borderId="8" xfId="0" applyFont="1" applyFill="1" applyBorder="1" applyAlignment="1">
      <alignment horizontal="justify" vertical="center" wrapText="1"/>
    </xf>
    <xf numFmtId="0" fontId="10" fillId="11" borderId="8" xfId="0" applyFont="1" applyFill="1" applyBorder="1" applyAlignment="1">
      <alignment horizontal="justify" vertical="center" wrapText="1"/>
    </xf>
    <xf numFmtId="0" fontId="11" fillId="0" borderId="8" xfId="0" applyFont="1" applyBorder="1" applyProtection="1">
      <protection locked="0"/>
    </xf>
    <xf numFmtId="0" fontId="8" fillId="9" borderId="13" xfId="0" applyFont="1" applyFill="1" applyBorder="1" applyAlignment="1">
      <alignment vertical="center" wrapText="1"/>
    </xf>
    <xf numFmtId="0" fontId="8" fillId="9" borderId="13" xfId="0" applyFont="1" applyFill="1" applyBorder="1" applyAlignment="1">
      <alignment horizontal="justify" vertical="center" wrapText="1"/>
    </xf>
    <xf numFmtId="0" fontId="10" fillId="11" borderId="8" xfId="0" applyFont="1" applyFill="1" applyBorder="1" applyAlignment="1">
      <alignment vertical="center" wrapText="1"/>
    </xf>
    <xf numFmtId="0" fontId="5" fillId="10" borderId="8" xfId="0" applyFont="1" applyFill="1" applyBorder="1" applyAlignment="1">
      <alignment horizontal="justify" vertical="center" wrapText="1"/>
    </xf>
    <xf numFmtId="0" fontId="10" fillId="12" borderId="8" xfId="0" applyFont="1" applyFill="1" applyBorder="1" applyAlignment="1">
      <alignment vertical="center" wrapText="1"/>
    </xf>
    <xf numFmtId="0" fontId="11" fillId="12" borderId="9" xfId="0" applyFont="1" applyFill="1" applyBorder="1" applyAlignment="1">
      <alignment horizontal="center"/>
    </xf>
    <xf numFmtId="0" fontId="11" fillId="12" borderId="10" xfId="0" applyFont="1" applyFill="1" applyBorder="1" applyAlignment="1">
      <alignment horizontal="center"/>
    </xf>
    <xf numFmtId="0" fontId="11" fillId="12" borderId="11" xfId="0" applyFont="1" applyFill="1" applyBorder="1" applyAlignment="1">
      <alignment horizontal="center"/>
    </xf>
    <xf numFmtId="0" fontId="12" fillId="11" borderId="8" xfId="0" applyFont="1" applyFill="1" applyBorder="1" applyAlignment="1">
      <alignment horizontal="justify" vertical="center" wrapText="1"/>
    </xf>
    <xf numFmtId="0" fontId="8" fillId="10" borderId="8" xfId="0" applyFont="1" applyFill="1" applyBorder="1" applyAlignment="1">
      <alignment horizontal="justify" vertical="center" wrapText="1"/>
    </xf>
    <xf numFmtId="0" fontId="5" fillId="9" borderId="13" xfId="0" applyFont="1" applyFill="1" applyBorder="1" applyAlignment="1">
      <alignment horizontal="justify" vertical="center" wrapText="1"/>
    </xf>
    <xf numFmtId="0" fontId="8" fillId="10" borderId="13" xfId="0" applyFont="1" applyFill="1" applyBorder="1" applyAlignment="1">
      <alignment horizontal="center" vertical="center" wrapText="1"/>
    </xf>
    <xf numFmtId="0" fontId="8" fillId="12" borderId="0" xfId="0" applyFont="1" applyFill="1" applyAlignment="1">
      <alignment horizontal="justify" vertical="center"/>
    </xf>
    <xf numFmtId="0" fontId="8" fillId="10" borderId="14" xfId="0" applyFont="1" applyFill="1" applyBorder="1" applyAlignment="1">
      <alignment horizontal="center" vertical="center" wrapText="1"/>
    </xf>
    <xf numFmtId="0" fontId="8" fillId="10" borderId="15" xfId="0" applyFont="1" applyFill="1" applyBorder="1" applyAlignment="1">
      <alignment horizontal="center" vertical="center" wrapText="1"/>
    </xf>
    <xf numFmtId="0" fontId="8" fillId="10" borderId="13" xfId="0" applyFont="1" applyFill="1" applyBorder="1" applyAlignment="1">
      <alignment horizontal="center" vertical="center" wrapText="1"/>
    </xf>
    <xf numFmtId="0" fontId="10" fillId="12" borderId="0" xfId="0" applyFont="1" applyFill="1" applyAlignment="1">
      <alignment horizontal="justify" vertical="center"/>
    </xf>
    <xf numFmtId="0" fontId="8" fillId="10" borderId="14" xfId="0" applyFont="1" applyFill="1" applyBorder="1" applyAlignment="1">
      <alignment horizontal="center" vertical="center" wrapText="1"/>
    </xf>
    <xf numFmtId="0" fontId="8" fillId="10" borderId="15" xfId="0" applyFont="1" applyFill="1" applyBorder="1" applyAlignment="1">
      <alignment horizontal="center" vertical="center" wrapText="1"/>
    </xf>
    <xf numFmtId="0" fontId="14" fillId="0" borderId="0" xfId="0" applyFont="1" applyAlignment="1">
      <alignment horizontal="justify" vertical="center"/>
    </xf>
    <xf numFmtId="0" fontId="10" fillId="0" borderId="8" xfId="0" applyFont="1" applyBorder="1" applyAlignment="1">
      <alignment vertical="center" wrapText="1"/>
    </xf>
    <xf numFmtId="0" fontId="10" fillId="0" borderId="0" xfId="0" applyFont="1"/>
    <xf numFmtId="0" fontId="8" fillId="9" borderId="13" xfId="0" applyFont="1" applyFill="1" applyBorder="1" applyAlignment="1">
      <alignment horizontal="left" vertical="center" wrapText="1"/>
    </xf>
    <xf numFmtId="0" fontId="8" fillId="10" borderId="16" xfId="0" applyFont="1" applyFill="1" applyBorder="1" applyAlignment="1">
      <alignment horizontal="center" vertical="center" wrapText="1"/>
    </xf>
    <xf numFmtId="0" fontId="10" fillId="0" borderId="11" xfId="0" applyFont="1" applyBorder="1" applyAlignment="1">
      <alignment wrapText="1"/>
    </xf>
    <xf numFmtId="0" fontId="8" fillId="10" borderId="17" xfId="0" applyFont="1" applyFill="1" applyBorder="1" applyAlignment="1">
      <alignment horizontal="center" vertical="center" wrapText="1"/>
    </xf>
    <xf numFmtId="0" fontId="8" fillId="10" borderId="18" xfId="0" applyFont="1" applyFill="1" applyBorder="1" applyAlignment="1">
      <alignment horizontal="center" vertical="center" wrapText="1"/>
    </xf>
    <xf numFmtId="0" fontId="11" fillId="0" borderId="0" xfId="0" applyFont="1"/>
  </cellXfs>
  <cellStyles count="2">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AF102"/>
  <sheetViews>
    <sheetView tabSelected="1" topLeftCell="A91" workbookViewId="0">
      <selection activeCell="C102" sqref="C102"/>
    </sheetView>
  </sheetViews>
  <sheetFormatPr defaultColWidth="11" defaultRowHeight="21"/>
  <cols>
    <col min="1" max="1" width="17.59765625" style="56" customWidth="1"/>
    <col min="2" max="2" width="81.59765625" style="56" customWidth="1"/>
    <col min="3" max="3" width="17.3984375" style="56" customWidth="1"/>
    <col min="4" max="5" width="70.59765625" style="56" customWidth="1"/>
  </cols>
  <sheetData>
    <row r="1" spans="1:32" ht="48" customHeight="1">
      <c r="A1" s="1" t="s">
        <v>0</v>
      </c>
      <c r="B1" s="2"/>
      <c r="C1" s="2"/>
      <c r="D1" s="2"/>
      <c r="E1" s="3"/>
    </row>
    <row r="2" spans="1:32" ht="39" customHeight="1">
      <c r="A2" s="4" t="s">
        <v>1</v>
      </c>
      <c r="B2" s="5"/>
      <c r="C2" s="5"/>
      <c r="D2" s="5"/>
      <c r="E2" s="6"/>
    </row>
    <row r="3" spans="1:32" ht="41.25" customHeight="1">
      <c r="A3" s="7" t="s">
        <v>2</v>
      </c>
      <c r="B3" s="8"/>
      <c r="C3" s="8"/>
      <c r="D3" s="8"/>
      <c r="E3" s="9"/>
    </row>
    <row r="4" spans="1:32" ht="26.4" thickBot="1">
      <c r="A4" s="10"/>
      <c r="B4" s="11"/>
      <c r="C4" s="12" t="str">
        <f>"Total Score: "&amp;ROUND((AA4/AB4)*100,2)&amp;"%"</f>
        <v>Total Score: 0%</v>
      </c>
      <c r="D4" s="13"/>
      <c r="E4" s="14"/>
      <c r="AA4">
        <f>SUM(AA7:AA102)+SUM(AB7:AB102)*0.5</f>
        <v>0</v>
      </c>
      <c r="AB4">
        <f>COUNT(AA7:AA102)-SUM(AB7:AD102)</f>
        <v>84</v>
      </c>
    </row>
    <row r="5" spans="1:32" ht="45" customHeight="1" thickTop="1" thickBot="1">
      <c r="A5" s="15" t="s">
        <v>3</v>
      </c>
      <c r="B5" s="16" t="s">
        <v>4</v>
      </c>
      <c r="C5" s="17" t="s">
        <v>5</v>
      </c>
      <c r="D5" s="18" t="s">
        <v>6</v>
      </c>
      <c r="E5" s="18" t="s">
        <v>7</v>
      </c>
    </row>
    <row r="6" spans="1:32" ht="36" customHeight="1" thickTop="1" thickBot="1">
      <c r="A6" s="19" t="s">
        <v>8</v>
      </c>
      <c r="B6" s="20"/>
      <c r="C6" s="20"/>
      <c r="D6" s="20"/>
      <c r="E6" s="21"/>
    </row>
    <row r="7" spans="1:32" ht="65.25" customHeight="1" thickTop="1" thickBot="1">
      <c r="A7" s="22" t="s">
        <v>9</v>
      </c>
      <c r="B7" s="22" t="s">
        <v>10</v>
      </c>
      <c r="C7" s="23" t="s">
        <v>11</v>
      </c>
      <c r="D7" s="24"/>
      <c r="E7" s="25" t="str">
        <f>"Quotation: "&amp;ROUND((AE7/AF7)*100,2)&amp;"%"</f>
        <v>Quotation: 0%</v>
      </c>
      <c r="AE7">
        <f>SUM(AA8:AA10)+SUM(AB8:AB10)*0.5</f>
        <v>0</v>
      </c>
      <c r="AF7">
        <f>COUNT(AA8:AA10)-SUM(AD8:AD10)</f>
        <v>3</v>
      </c>
    </row>
    <row r="8" spans="1:32" ht="48" customHeight="1" thickTop="1" thickBot="1">
      <c r="A8" s="26" t="s">
        <v>12</v>
      </c>
      <c r="B8" s="27" t="s">
        <v>13</v>
      </c>
      <c r="C8" s="28"/>
      <c r="D8" s="28"/>
      <c r="E8" s="28"/>
      <c r="AA8">
        <f>IF(C8="Met",1,0)</f>
        <v>0</v>
      </c>
      <c r="AB8">
        <f>IF(C8="Partially Met",1,0)</f>
        <v>0</v>
      </c>
      <c r="AC8">
        <f>IF(C8="UnMet",1,0)</f>
        <v>0</v>
      </c>
      <c r="AD8">
        <f>IF(C8="Not Applicable",1,0)</f>
        <v>0</v>
      </c>
    </row>
    <row r="9" spans="1:32" ht="69.75" customHeight="1" thickTop="1" thickBot="1">
      <c r="A9" s="26" t="s">
        <v>14</v>
      </c>
      <c r="B9" s="27" t="s">
        <v>15</v>
      </c>
      <c r="C9" s="28"/>
      <c r="D9" s="28"/>
      <c r="E9" s="28"/>
      <c r="AA9">
        <f>IF(C9="Met",1,0)</f>
        <v>0</v>
      </c>
      <c r="AB9">
        <f>IF(C9="Partially Met",1,0)</f>
        <v>0</v>
      </c>
      <c r="AC9">
        <f>IF(C9="UnMet",1,0)</f>
        <v>0</v>
      </c>
      <c r="AD9">
        <f>IF(C9="Not Applicable",1,0)</f>
        <v>0</v>
      </c>
    </row>
    <row r="10" spans="1:32" ht="58.5" customHeight="1" thickTop="1" thickBot="1">
      <c r="A10" s="26" t="s">
        <v>16</v>
      </c>
      <c r="B10" s="27" t="s">
        <v>17</v>
      </c>
      <c r="C10" s="28"/>
      <c r="D10" s="28"/>
      <c r="E10" s="28"/>
      <c r="AA10">
        <f>IF(C10="Met",1,0)</f>
        <v>0</v>
      </c>
      <c r="AB10">
        <f>IF(C10="Partially Met",1,0)</f>
        <v>0</v>
      </c>
      <c r="AC10">
        <f>IF(C10="UnMet",1,0)</f>
        <v>0</v>
      </c>
      <c r="AD10">
        <f>IF(C10="Not Applicable",1,0)</f>
        <v>0</v>
      </c>
    </row>
    <row r="11" spans="1:32" ht="84.75" customHeight="1" thickTop="1" thickBot="1">
      <c r="A11" s="29" t="s">
        <v>18</v>
      </c>
      <c r="B11" s="30" t="s">
        <v>19</v>
      </c>
      <c r="C11" s="23" t="s">
        <v>20</v>
      </c>
      <c r="D11" s="24"/>
      <c r="E11" s="25" t="str">
        <f>"Quotation: "&amp;ROUND((AE11/AF11)*100,2)&amp;"%"</f>
        <v>Quotation: 0%</v>
      </c>
      <c r="AE11">
        <f>SUM(AA12:AA18)+SUM(AB12:AB18)*0.5</f>
        <v>0</v>
      </c>
      <c r="AF11">
        <f>COUNT(AA12:AA18)-SUM(AD12:AD18)</f>
        <v>7</v>
      </c>
    </row>
    <row r="12" spans="1:32" ht="43.2" thickTop="1" thickBot="1">
      <c r="A12" s="26" t="s">
        <v>21</v>
      </c>
      <c r="B12" s="31" t="s">
        <v>22</v>
      </c>
      <c r="C12" s="28"/>
      <c r="D12" s="28"/>
      <c r="E12" s="28"/>
      <c r="AA12">
        <f t="shared" ref="AA12:AA18" si="0">IF(C12="Met",1,0)</f>
        <v>0</v>
      </c>
      <c r="AB12">
        <f t="shared" ref="AB12:AB18" si="1">IF(C12="Partially Met",1,0)</f>
        <v>0</v>
      </c>
      <c r="AC12">
        <f t="shared" ref="AC12:AC18" si="2">IF(C12="UnMet",1,0)</f>
        <v>0</v>
      </c>
      <c r="AD12">
        <f t="shared" ref="AD12:AD18" si="3">IF(C12="Not Applicable",1,0)</f>
        <v>0</v>
      </c>
    </row>
    <row r="13" spans="1:32" ht="43.5" customHeight="1" thickTop="1" thickBot="1">
      <c r="A13" s="26" t="s">
        <v>23</v>
      </c>
      <c r="B13" s="31" t="s">
        <v>24</v>
      </c>
      <c r="C13" s="28"/>
      <c r="D13" s="28"/>
      <c r="E13" s="28"/>
      <c r="AA13">
        <f t="shared" si="0"/>
        <v>0</v>
      </c>
      <c r="AB13">
        <f t="shared" si="1"/>
        <v>0</v>
      </c>
      <c r="AC13">
        <f t="shared" si="2"/>
        <v>0</v>
      </c>
      <c r="AD13">
        <f t="shared" si="3"/>
        <v>0</v>
      </c>
    </row>
    <row r="14" spans="1:32" ht="64.2" thickTop="1" thickBot="1">
      <c r="A14" s="26" t="s">
        <v>25</v>
      </c>
      <c r="B14" s="31" t="s">
        <v>26</v>
      </c>
      <c r="C14" s="28"/>
      <c r="D14" s="28"/>
      <c r="E14" s="28"/>
      <c r="AA14">
        <f t="shared" si="0"/>
        <v>0</v>
      </c>
      <c r="AB14">
        <f t="shared" si="1"/>
        <v>0</v>
      </c>
      <c r="AC14">
        <f t="shared" si="2"/>
        <v>0</v>
      </c>
      <c r="AD14">
        <f t="shared" si="3"/>
        <v>0</v>
      </c>
    </row>
    <row r="15" spans="1:32" ht="64.2" thickTop="1" thickBot="1">
      <c r="A15" s="26" t="s">
        <v>27</v>
      </c>
      <c r="B15" s="31" t="s">
        <v>28</v>
      </c>
      <c r="C15" s="28"/>
      <c r="D15" s="28"/>
      <c r="E15" s="28"/>
      <c r="AA15">
        <f t="shared" si="0"/>
        <v>0</v>
      </c>
      <c r="AB15">
        <f t="shared" si="1"/>
        <v>0</v>
      </c>
      <c r="AC15">
        <f t="shared" si="2"/>
        <v>0</v>
      </c>
      <c r="AD15">
        <f t="shared" si="3"/>
        <v>0</v>
      </c>
    </row>
    <row r="16" spans="1:32" ht="43.2" thickTop="1" thickBot="1">
      <c r="A16" s="26" t="s">
        <v>29</v>
      </c>
      <c r="B16" s="31" t="s">
        <v>30</v>
      </c>
      <c r="C16" s="28"/>
      <c r="D16" s="28"/>
      <c r="E16" s="28"/>
      <c r="AA16">
        <f t="shared" si="0"/>
        <v>0</v>
      </c>
      <c r="AB16">
        <f t="shared" si="1"/>
        <v>0</v>
      </c>
      <c r="AC16">
        <f t="shared" si="2"/>
        <v>0</v>
      </c>
      <c r="AD16">
        <f t="shared" si="3"/>
        <v>0</v>
      </c>
    </row>
    <row r="17" spans="1:32" ht="43.2" thickTop="1" thickBot="1">
      <c r="A17" s="26" t="s">
        <v>31</v>
      </c>
      <c r="B17" s="31" t="s">
        <v>32</v>
      </c>
      <c r="C17" s="28"/>
      <c r="D17" s="28"/>
      <c r="E17" s="28"/>
      <c r="AA17">
        <f t="shared" si="0"/>
        <v>0</v>
      </c>
      <c r="AB17">
        <f t="shared" si="1"/>
        <v>0</v>
      </c>
      <c r="AC17">
        <f t="shared" si="2"/>
        <v>0</v>
      </c>
      <c r="AD17">
        <f t="shared" si="3"/>
        <v>0</v>
      </c>
    </row>
    <row r="18" spans="1:32" ht="46.5" customHeight="1" thickTop="1" thickBot="1">
      <c r="A18" s="26" t="s">
        <v>33</v>
      </c>
      <c r="B18" s="31" t="s">
        <v>34</v>
      </c>
      <c r="C18" s="28"/>
      <c r="D18" s="28"/>
      <c r="E18" s="28"/>
      <c r="AA18">
        <f t="shared" si="0"/>
        <v>0</v>
      </c>
      <c r="AB18">
        <f t="shared" si="1"/>
        <v>0</v>
      </c>
      <c r="AC18">
        <f t="shared" si="2"/>
        <v>0</v>
      </c>
      <c r="AD18">
        <f t="shared" si="3"/>
        <v>0</v>
      </c>
    </row>
    <row r="19" spans="1:32" ht="81.75" customHeight="1" thickTop="1" thickBot="1">
      <c r="A19" s="29" t="s">
        <v>35</v>
      </c>
      <c r="B19" s="30" t="s">
        <v>36</v>
      </c>
      <c r="C19" s="23" t="s">
        <v>37</v>
      </c>
      <c r="D19" s="24"/>
      <c r="E19" s="25" t="str">
        <f>"Quotation: "&amp;ROUND((AE19/AF19)*100,2)&amp;"%"</f>
        <v>Quotation: 0%</v>
      </c>
      <c r="AE19">
        <f>SUM(AA20:AA31)+SUM(AB20:AB31)*0.5</f>
        <v>0</v>
      </c>
      <c r="AF19">
        <f>COUNT(AA20:AA31)-SUM(AD20:AD31)</f>
        <v>11</v>
      </c>
    </row>
    <row r="20" spans="1:32" ht="64.2" thickTop="1" thickBot="1">
      <c r="A20" s="32" t="s">
        <v>38</v>
      </c>
      <c r="B20" s="33" t="s">
        <v>39</v>
      </c>
      <c r="C20" s="34"/>
      <c r="D20" s="35"/>
      <c r="E20" s="36"/>
    </row>
    <row r="21" spans="1:32" ht="22.2" thickTop="1" thickBot="1">
      <c r="A21" s="32"/>
      <c r="B21" s="37" t="s">
        <v>40</v>
      </c>
      <c r="C21" s="28"/>
      <c r="D21" s="28"/>
      <c r="E21" s="28"/>
      <c r="AA21">
        <f t="shared" ref="AA21:AA31" si="4">IF(C21="Met",1,0)</f>
        <v>0</v>
      </c>
      <c r="AB21">
        <f t="shared" ref="AB21:AB31" si="5">IF(C21="Partially Met",1,0)</f>
        <v>0</v>
      </c>
      <c r="AC21">
        <f t="shared" ref="AC21:AC31" si="6">IF(C21="UnMet",1,0)</f>
        <v>0</v>
      </c>
      <c r="AD21">
        <f t="shared" ref="AD21:AD31" si="7">IF(C21="Not Applicable",1,0)</f>
        <v>0</v>
      </c>
    </row>
    <row r="22" spans="1:32" ht="22.2" thickTop="1" thickBot="1">
      <c r="A22" s="32"/>
      <c r="B22" s="37" t="s">
        <v>41</v>
      </c>
      <c r="C22" s="28"/>
      <c r="D22" s="28"/>
      <c r="E22" s="28"/>
      <c r="AA22">
        <f t="shared" si="4"/>
        <v>0</v>
      </c>
      <c r="AB22">
        <f t="shared" si="5"/>
        <v>0</v>
      </c>
      <c r="AC22">
        <f t="shared" si="6"/>
        <v>0</v>
      </c>
      <c r="AD22">
        <f t="shared" si="7"/>
        <v>0</v>
      </c>
    </row>
    <row r="23" spans="1:32" ht="22.2" thickTop="1" thickBot="1">
      <c r="A23" s="32"/>
      <c r="B23" s="37" t="s">
        <v>42</v>
      </c>
      <c r="C23" s="28"/>
      <c r="D23" s="28"/>
      <c r="E23" s="28"/>
      <c r="AA23">
        <f t="shared" si="4"/>
        <v>0</v>
      </c>
      <c r="AB23">
        <f t="shared" si="5"/>
        <v>0</v>
      </c>
      <c r="AC23">
        <f t="shared" si="6"/>
        <v>0</v>
      </c>
      <c r="AD23">
        <f t="shared" si="7"/>
        <v>0</v>
      </c>
    </row>
    <row r="24" spans="1:32" ht="22.2" thickTop="1" thickBot="1">
      <c r="A24" s="32"/>
      <c r="B24" s="37" t="s">
        <v>43</v>
      </c>
      <c r="C24" s="28"/>
      <c r="D24" s="28"/>
      <c r="E24" s="28"/>
      <c r="AA24">
        <f t="shared" si="4"/>
        <v>0</v>
      </c>
      <c r="AB24">
        <f t="shared" si="5"/>
        <v>0</v>
      </c>
      <c r="AC24">
        <f t="shared" si="6"/>
        <v>0</v>
      </c>
      <c r="AD24">
        <f t="shared" si="7"/>
        <v>0</v>
      </c>
    </row>
    <row r="25" spans="1:32" ht="22.2" thickTop="1" thickBot="1">
      <c r="A25" s="32"/>
      <c r="B25" s="37" t="s">
        <v>44</v>
      </c>
      <c r="C25" s="28"/>
      <c r="D25" s="28"/>
      <c r="E25" s="28"/>
      <c r="AA25">
        <f t="shared" si="4"/>
        <v>0</v>
      </c>
      <c r="AB25">
        <f t="shared" si="5"/>
        <v>0</v>
      </c>
      <c r="AC25">
        <f t="shared" si="6"/>
        <v>0</v>
      </c>
      <c r="AD25">
        <f t="shared" si="7"/>
        <v>0</v>
      </c>
    </row>
    <row r="26" spans="1:32" ht="22.2" thickTop="1" thickBot="1">
      <c r="A26" s="32"/>
      <c r="B26" s="37" t="s">
        <v>45</v>
      </c>
      <c r="C26" s="28"/>
      <c r="D26" s="28"/>
      <c r="E26" s="28"/>
      <c r="AA26">
        <f t="shared" si="4"/>
        <v>0</v>
      </c>
      <c r="AB26">
        <f t="shared" si="5"/>
        <v>0</v>
      </c>
      <c r="AC26">
        <f t="shared" si="6"/>
        <v>0</v>
      </c>
      <c r="AD26">
        <f t="shared" si="7"/>
        <v>0</v>
      </c>
    </row>
    <row r="27" spans="1:32" ht="22.2" thickTop="1" thickBot="1">
      <c r="A27" s="32"/>
      <c r="B27" s="37" t="s">
        <v>46</v>
      </c>
      <c r="C27" s="28"/>
      <c r="D27" s="28"/>
      <c r="E27" s="28"/>
      <c r="AA27">
        <f t="shared" si="4"/>
        <v>0</v>
      </c>
      <c r="AB27">
        <f t="shared" si="5"/>
        <v>0</v>
      </c>
      <c r="AC27">
        <f t="shared" si="6"/>
        <v>0</v>
      </c>
      <c r="AD27">
        <f t="shared" si="7"/>
        <v>0</v>
      </c>
    </row>
    <row r="28" spans="1:32" ht="26.25" customHeight="1" thickTop="1" thickBot="1">
      <c r="A28" s="32"/>
      <c r="B28" s="37" t="s">
        <v>47</v>
      </c>
      <c r="C28" s="28"/>
      <c r="D28" s="28"/>
      <c r="E28" s="28"/>
      <c r="AA28">
        <f t="shared" si="4"/>
        <v>0</v>
      </c>
      <c r="AB28">
        <f t="shared" si="5"/>
        <v>0</v>
      </c>
      <c r="AC28">
        <f t="shared" si="6"/>
        <v>0</v>
      </c>
      <c r="AD28">
        <f t="shared" si="7"/>
        <v>0</v>
      </c>
    </row>
    <row r="29" spans="1:32" ht="43.2" thickTop="1" thickBot="1">
      <c r="A29" s="38" t="s">
        <v>48</v>
      </c>
      <c r="B29" s="27" t="s">
        <v>49</v>
      </c>
      <c r="C29" s="28"/>
      <c r="D29" s="28"/>
      <c r="E29" s="28"/>
      <c r="AA29">
        <f t="shared" si="4"/>
        <v>0</v>
      </c>
      <c r="AB29">
        <f t="shared" si="5"/>
        <v>0</v>
      </c>
      <c r="AC29">
        <f t="shared" si="6"/>
        <v>0</v>
      </c>
      <c r="AD29">
        <f t="shared" si="7"/>
        <v>0</v>
      </c>
    </row>
    <row r="30" spans="1:32" ht="22.2" thickTop="1" thickBot="1">
      <c r="A30" s="38" t="s">
        <v>50</v>
      </c>
      <c r="B30" s="31" t="s">
        <v>51</v>
      </c>
      <c r="C30" s="28"/>
      <c r="D30" s="28"/>
      <c r="E30" s="28"/>
      <c r="AA30">
        <f t="shared" si="4"/>
        <v>0</v>
      </c>
      <c r="AB30">
        <f t="shared" si="5"/>
        <v>0</v>
      </c>
      <c r="AC30">
        <f t="shared" si="6"/>
        <v>0</v>
      </c>
      <c r="AD30">
        <f t="shared" si="7"/>
        <v>0</v>
      </c>
    </row>
    <row r="31" spans="1:32" ht="22.2" thickTop="1" thickBot="1">
      <c r="A31" s="38" t="s">
        <v>52</v>
      </c>
      <c r="B31" s="27" t="s">
        <v>53</v>
      </c>
      <c r="C31" s="28"/>
      <c r="D31" s="28"/>
      <c r="E31" s="28"/>
      <c r="AA31">
        <f t="shared" si="4"/>
        <v>0</v>
      </c>
      <c r="AB31">
        <f t="shared" si="5"/>
        <v>0</v>
      </c>
      <c r="AC31">
        <f t="shared" si="6"/>
        <v>0</v>
      </c>
      <c r="AD31">
        <f t="shared" si="7"/>
        <v>0</v>
      </c>
    </row>
    <row r="32" spans="1:32" ht="85.5" customHeight="1" thickTop="1" thickBot="1">
      <c r="A32" s="39" t="s">
        <v>54</v>
      </c>
      <c r="B32" s="30" t="s">
        <v>55</v>
      </c>
      <c r="C32" s="23" t="s">
        <v>56</v>
      </c>
      <c r="D32" s="24"/>
      <c r="E32" s="25" t="str">
        <f>"Quotation: "&amp;ROUND((AE32/AF32)*100,2)&amp;"%"</f>
        <v>Quotation: 0%</v>
      </c>
      <c r="AE32">
        <f>SUM(AA33:AA40)+SUM(AB33:AB40)*0.5</f>
        <v>0</v>
      </c>
      <c r="AF32">
        <f>COUNT(AA33:AA40)-SUM(AD33:AD40)</f>
        <v>8</v>
      </c>
    </row>
    <row r="33" spans="1:32" ht="43.2" thickTop="1" thickBot="1">
      <c r="A33" s="26" t="s">
        <v>57</v>
      </c>
      <c r="B33" s="27" t="s">
        <v>58</v>
      </c>
      <c r="C33" s="28"/>
      <c r="D33" s="28"/>
      <c r="E33" s="28"/>
      <c r="AA33">
        <f t="shared" ref="AA33:AA40" si="8">IF(C33="Met",1,0)</f>
        <v>0</v>
      </c>
      <c r="AB33">
        <f t="shared" ref="AB33:AB40" si="9">IF(C33="Partially Met",1,0)</f>
        <v>0</v>
      </c>
      <c r="AC33">
        <f t="shared" ref="AC33:AC40" si="10">IF(C33="UnMet",1,0)</f>
        <v>0</v>
      </c>
      <c r="AD33">
        <f t="shared" ref="AD33:AD40" si="11">IF(C33="Not Applicable",1,0)</f>
        <v>0</v>
      </c>
    </row>
    <row r="34" spans="1:32" ht="64.2" thickTop="1" thickBot="1">
      <c r="A34" s="26" t="s">
        <v>59</v>
      </c>
      <c r="B34" s="27" t="s">
        <v>60</v>
      </c>
      <c r="C34" s="28"/>
      <c r="D34" s="28"/>
      <c r="E34" s="28"/>
      <c r="AA34">
        <f t="shared" si="8"/>
        <v>0</v>
      </c>
      <c r="AB34">
        <f t="shared" si="9"/>
        <v>0</v>
      </c>
      <c r="AC34">
        <f t="shared" si="10"/>
        <v>0</v>
      </c>
      <c r="AD34">
        <f t="shared" si="11"/>
        <v>0</v>
      </c>
    </row>
    <row r="35" spans="1:32" ht="43.2" thickTop="1" thickBot="1">
      <c r="A35" s="26" t="s">
        <v>61</v>
      </c>
      <c r="B35" s="27" t="s">
        <v>62</v>
      </c>
      <c r="C35" s="28"/>
      <c r="D35" s="28"/>
      <c r="E35" s="28"/>
      <c r="AA35">
        <f t="shared" si="8"/>
        <v>0</v>
      </c>
      <c r="AB35">
        <f t="shared" si="9"/>
        <v>0</v>
      </c>
      <c r="AC35">
        <f t="shared" si="10"/>
        <v>0</v>
      </c>
      <c r="AD35">
        <f t="shared" si="11"/>
        <v>0</v>
      </c>
    </row>
    <row r="36" spans="1:32" ht="35.25" customHeight="1" thickTop="1" thickBot="1">
      <c r="A36" s="26" t="s">
        <v>63</v>
      </c>
      <c r="B36" s="31" t="s">
        <v>64</v>
      </c>
      <c r="C36" s="28"/>
      <c r="D36" s="28"/>
      <c r="E36" s="28"/>
      <c r="AA36">
        <f t="shared" si="8"/>
        <v>0</v>
      </c>
      <c r="AB36">
        <f t="shared" si="9"/>
        <v>0</v>
      </c>
      <c r="AC36">
        <f t="shared" si="10"/>
        <v>0</v>
      </c>
      <c r="AD36">
        <f t="shared" si="11"/>
        <v>0</v>
      </c>
    </row>
    <row r="37" spans="1:32" ht="36.75" customHeight="1" thickTop="1" thickBot="1">
      <c r="A37" s="26" t="s">
        <v>65</v>
      </c>
      <c r="B37" s="27" t="s">
        <v>66</v>
      </c>
      <c r="C37" s="28"/>
      <c r="D37" s="28"/>
      <c r="E37" s="28"/>
      <c r="AA37">
        <f t="shared" si="8"/>
        <v>0</v>
      </c>
      <c r="AB37">
        <f t="shared" si="9"/>
        <v>0</v>
      </c>
      <c r="AC37">
        <f t="shared" si="10"/>
        <v>0</v>
      </c>
      <c r="AD37">
        <f t="shared" si="11"/>
        <v>0</v>
      </c>
    </row>
    <row r="38" spans="1:32" ht="43.2" thickTop="1" thickBot="1">
      <c r="A38" s="26" t="s">
        <v>67</v>
      </c>
      <c r="B38" s="31" t="s">
        <v>68</v>
      </c>
      <c r="C38" s="28"/>
      <c r="D38" s="28"/>
      <c r="E38" s="28"/>
      <c r="AA38">
        <f t="shared" si="8"/>
        <v>0</v>
      </c>
      <c r="AB38">
        <f t="shared" si="9"/>
        <v>0</v>
      </c>
      <c r="AC38">
        <f t="shared" si="10"/>
        <v>0</v>
      </c>
      <c r="AD38">
        <f t="shared" si="11"/>
        <v>0</v>
      </c>
    </row>
    <row r="39" spans="1:32" ht="39" customHeight="1" thickTop="1" thickBot="1">
      <c r="A39" s="26" t="s">
        <v>69</v>
      </c>
      <c r="B39" s="31" t="s">
        <v>70</v>
      </c>
      <c r="C39" s="28"/>
      <c r="D39" s="28"/>
      <c r="E39" s="28"/>
      <c r="AA39">
        <f t="shared" si="8"/>
        <v>0</v>
      </c>
      <c r="AB39">
        <f t="shared" si="9"/>
        <v>0</v>
      </c>
      <c r="AC39">
        <f t="shared" si="10"/>
        <v>0</v>
      </c>
      <c r="AD39">
        <f t="shared" si="11"/>
        <v>0</v>
      </c>
    </row>
    <row r="40" spans="1:32" ht="34.5" customHeight="1" thickTop="1" thickBot="1">
      <c r="A40" s="26" t="s">
        <v>71</v>
      </c>
      <c r="B40" s="27" t="s">
        <v>72</v>
      </c>
      <c r="C40" s="28"/>
      <c r="D40" s="28"/>
      <c r="E40" s="28"/>
      <c r="AA40">
        <f t="shared" si="8"/>
        <v>0</v>
      </c>
      <c r="AB40">
        <f t="shared" si="9"/>
        <v>0</v>
      </c>
      <c r="AC40">
        <f t="shared" si="10"/>
        <v>0</v>
      </c>
      <c r="AD40">
        <f t="shared" si="11"/>
        <v>0</v>
      </c>
    </row>
    <row r="41" spans="1:32" ht="69" customHeight="1" thickTop="1" thickBot="1">
      <c r="A41" s="39" t="s">
        <v>73</v>
      </c>
      <c r="B41" s="29" t="s">
        <v>74</v>
      </c>
      <c r="C41" s="23" t="s">
        <v>75</v>
      </c>
      <c r="D41" s="24"/>
      <c r="E41" s="25" t="str">
        <f>"Quotation: "&amp;ROUND((AE41/AF41)*100,2)&amp;"%"</f>
        <v>Quotation: 0%</v>
      </c>
      <c r="AE41">
        <f>SUM(AA42:AA46)+SUM(AB42:AB46)*0.5</f>
        <v>0</v>
      </c>
      <c r="AF41">
        <f>COUNT(AA42:AA46)-SUM(AD42:AD46)</f>
        <v>5</v>
      </c>
    </row>
    <row r="42" spans="1:32" ht="43.2" thickTop="1" thickBot="1">
      <c r="A42" s="26" t="s">
        <v>76</v>
      </c>
      <c r="B42" s="31" t="s">
        <v>77</v>
      </c>
      <c r="C42" s="28"/>
      <c r="D42" s="28"/>
      <c r="E42" s="28"/>
      <c r="AA42">
        <f>IF(C42="Met",1,0)</f>
        <v>0</v>
      </c>
      <c r="AB42">
        <f>IF(C42="Partially Met",1,0)</f>
        <v>0</v>
      </c>
      <c r="AC42">
        <f>IF(C42="UnMet",1,0)</f>
        <v>0</v>
      </c>
      <c r="AD42">
        <f>IF(C42="Not Applicable",1,0)</f>
        <v>0</v>
      </c>
    </row>
    <row r="43" spans="1:32" ht="43.2" thickTop="1" thickBot="1">
      <c r="A43" s="26" t="s">
        <v>78</v>
      </c>
      <c r="B43" s="31" t="s">
        <v>79</v>
      </c>
      <c r="C43" s="28"/>
      <c r="D43" s="28"/>
      <c r="E43" s="28"/>
      <c r="AA43">
        <f>IF(C43="Met",1,0)</f>
        <v>0</v>
      </c>
      <c r="AB43">
        <f>IF(C43="Partially Met",1,0)</f>
        <v>0</v>
      </c>
      <c r="AC43">
        <f>IF(C43="UnMet",1,0)</f>
        <v>0</v>
      </c>
      <c r="AD43">
        <f>IF(C43="Not Applicable",1,0)</f>
        <v>0</v>
      </c>
    </row>
    <row r="44" spans="1:32" ht="43.2" thickTop="1" thickBot="1">
      <c r="A44" s="26" t="s">
        <v>80</v>
      </c>
      <c r="B44" s="31" t="s">
        <v>81</v>
      </c>
      <c r="C44" s="28"/>
      <c r="D44" s="28"/>
      <c r="E44" s="28"/>
      <c r="AA44">
        <f>IF(C44="Met",1,0)</f>
        <v>0</v>
      </c>
      <c r="AB44">
        <f>IF(C44="Partially Met",1,0)</f>
        <v>0</v>
      </c>
      <c r="AC44">
        <f>IF(C44="UnMet",1,0)</f>
        <v>0</v>
      </c>
      <c r="AD44">
        <f>IF(C44="Not Applicable",1,0)</f>
        <v>0</v>
      </c>
    </row>
    <row r="45" spans="1:32" ht="43.2" thickTop="1" thickBot="1">
      <c r="A45" s="26" t="s">
        <v>82</v>
      </c>
      <c r="B45" s="31" t="s">
        <v>83</v>
      </c>
      <c r="C45" s="28"/>
      <c r="D45" s="28"/>
      <c r="E45" s="28"/>
      <c r="AA45">
        <f>IF(C45="Met",1,0)</f>
        <v>0</v>
      </c>
      <c r="AB45">
        <f>IF(C45="Partially Met",1,0)</f>
        <v>0</v>
      </c>
      <c r="AC45">
        <f>IF(C45="UnMet",1,0)</f>
        <v>0</v>
      </c>
      <c r="AD45">
        <f>IF(C45="Not Applicable",1,0)</f>
        <v>0</v>
      </c>
    </row>
    <row r="46" spans="1:32" ht="64.2" thickTop="1" thickBot="1">
      <c r="A46" s="26" t="s">
        <v>84</v>
      </c>
      <c r="B46" s="31" t="s">
        <v>85</v>
      </c>
      <c r="C46" s="28"/>
      <c r="D46" s="28"/>
      <c r="E46" s="28"/>
      <c r="AA46">
        <f>IF(C46="Met",1,0)</f>
        <v>0</v>
      </c>
      <c r="AB46">
        <f>IF(C46="Partially Met",1,0)</f>
        <v>0</v>
      </c>
      <c r="AC46">
        <f>IF(C46="UnMet",1,0)</f>
        <v>0</v>
      </c>
      <c r="AD46">
        <f>IF(C46="Not Applicable",1,0)</f>
        <v>0</v>
      </c>
    </row>
    <row r="47" spans="1:32" ht="73.5" customHeight="1" thickTop="1" thickBot="1">
      <c r="A47" s="29" t="s">
        <v>86</v>
      </c>
      <c r="B47" s="22" t="s">
        <v>87</v>
      </c>
      <c r="C47" s="23" t="s">
        <v>88</v>
      </c>
      <c r="D47" s="24"/>
      <c r="E47" s="25" t="str">
        <f>"Quotation: "&amp;ROUND((AE47/AF47)*100,2)&amp;"%"</f>
        <v>Quotation: 0%</v>
      </c>
      <c r="AE47">
        <f>SUM(AA48:AA88)+SUM(AB48:AB88)*0.5</f>
        <v>0</v>
      </c>
      <c r="AF47">
        <f>COUNT(AA48:AA88)-SUM(AD48:AD88)</f>
        <v>38</v>
      </c>
    </row>
    <row r="48" spans="1:32" ht="42" thickTop="1" thickBot="1">
      <c r="A48" s="40" t="s">
        <v>89</v>
      </c>
      <c r="B48" s="41" t="s">
        <v>90</v>
      </c>
      <c r="C48" s="34"/>
      <c r="D48" s="35"/>
      <c r="E48" s="36"/>
    </row>
    <row r="49" spans="1:30" ht="43.2" thickTop="1" thickBot="1">
      <c r="A49" s="42"/>
      <c r="B49" s="37" t="s">
        <v>91</v>
      </c>
      <c r="C49" s="28"/>
      <c r="D49" s="28"/>
      <c r="E49" s="28"/>
      <c r="AA49">
        <f t="shared" ref="AA49:AA64" si="12">IF(C49="Met",1,0)</f>
        <v>0</v>
      </c>
      <c r="AB49">
        <f t="shared" ref="AB49:AB64" si="13">IF(C49="Partially Met",1,0)</f>
        <v>0</v>
      </c>
      <c r="AC49">
        <f t="shared" ref="AC49:AC64" si="14">IF(C49="UnMet",1,0)</f>
        <v>0</v>
      </c>
      <c r="AD49">
        <f t="shared" ref="AD49:AD64" si="15">IF(C49="Not Applicable",1,0)</f>
        <v>0</v>
      </c>
    </row>
    <row r="50" spans="1:30" ht="22.2" thickTop="1" thickBot="1">
      <c r="A50" s="42"/>
      <c r="B50" s="37" t="s">
        <v>92</v>
      </c>
      <c r="C50" s="28"/>
      <c r="D50" s="28"/>
      <c r="E50" s="28"/>
      <c r="AA50">
        <f t="shared" si="12"/>
        <v>0</v>
      </c>
      <c r="AB50">
        <f t="shared" si="13"/>
        <v>0</v>
      </c>
      <c r="AC50">
        <f t="shared" si="14"/>
        <v>0</v>
      </c>
      <c r="AD50">
        <f t="shared" si="15"/>
        <v>0</v>
      </c>
    </row>
    <row r="51" spans="1:30" ht="22.2" thickTop="1" thickBot="1">
      <c r="A51" s="42"/>
      <c r="B51" s="37" t="s">
        <v>93</v>
      </c>
      <c r="C51" s="28"/>
      <c r="D51" s="28"/>
      <c r="E51" s="28"/>
      <c r="AA51">
        <f t="shared" si="12"/>
        <v>0</v>
      </c>
      <c r="AB51">
        <f t="shared" si="13"/>
        <v>0</v>
      </c>
      <c r="AC51">
        <f t="shared" si="14"/>
        <v>0</v>
      </c>
      <c r="AD51">
        <f t="shared" si="15"/>
        <v>0</v>
      </c>
    </row>
    <row r="52" spans="1:30" ht="43.2" thickTop="1" thickBot="1">
      <c r="A52" s="42"/>
      <c r="B52" s="37" t="s">
        <v>94</v>
      </c>
      <c r="C52" s="28"/>
      <c r="D52" s="28"/>
      <c r="E52" s="28"/>
      <c r="AA52">
        <f t="shared" si="12"/>
        <v>0</v>
      </c>
      <c r="AB52">
        <f t="shared" si="13"/>
        <v>0</v>
      </c>
      <c r="AC52">
        <f t="shared" si="14"/>
        <v>0</v>
      </c>
      <c r="AD52">
        <f t="shared" si="15"/>
        <v>0</v>
      </c>
    </row>
    <row r="53" spans="1:30" ht="22.2" thickTop="1" thickBot="1">
      <c r="A53" s="42"/>
      <c r="B53" s="37" t="s">
        <v>95</v>
      </c>
      <c r="C53" s="28"/>
      <c r="D53" s="28"/>
      <c r="E53" s="28"/>
      <c r="AA53">
        <f t="shared" si="12"/>
        <v>0</v>
      </c>
      <c r="AB53">
        <f t="shared" si="13"/>
        <v>0</v>
      </c>
      <c r="AC53">
        <f t="shared" si="14"/>
        <v>0</v>
      </c>
      <c r="AD53">
        <f t="shared" si="15"/>
        <v>0</v>
      </c>
    </row>
    <row r="54" spans="1:30" ht="43.2" thickTop="1" thickBot="1">
      <c r="A54" s="42"/>
      <c r="B54" s="37" t="s">
        <v>96</v>
      </c>
      <c r="C54" s="28"/>
      <c r="D54" s="28"/>
      <c r="E54" s="28"/>
      <c r="AA54">
        <f t="shared" si="12"/>
        <v>0</v>
      </c>
      <c r="AB54">
        <f t="shared" si="13"/>
        <v>0</v>
      </c>
      <c r="AC54">
        <f t="shared" si="14"/>
        <v>0</v>
      </c>
      <c r="AD54">
        <f t="shared" si="15"/>
        <v>0</v>
      </c>
    </row>
    <row r="55" spans="1:30" ht="43.2" thickTop="1" thickBot="1">
      <c r="A55" s="42"/>
      <c r="B55" s="37" t="s">
        <v>97</v>
      </c>
      <c r="C55" s="28"/>
      <c r="D55" s="28"/>
      <c r="E55" s="28"/>
      <c r="AA55">
        <f t="shared" si="12"/>
        <v>0</v>
      </c>
      <c r="AB55">
        <f t="shared" si="13"/>
        <v>0</v>
      </c>
      <c r="AC55">
        <f t="shared" si="14"/>
        <v>0</v>
      </c>
      <c r="AD55">
        <f t="shared" si="15"/>
        <v>0</v>
      </c>
    </row>
    <row r="56" spans="1:30" ht="22.2" thickTop="1" thickBot="1">
      <c r="A56" s="42"/>
      <c r="B56" s="37" t="s">
        <v>98</v>
      </c>
      <c r="C56" s="28"/>
      <c r="D56" s="28"/>
      <c r="E56" s="28"/>
      <c r="AA56">
        <f t="shared" si="12"/>
        <v>0</v>
      </c>
      <c r="AB56">
        <f t="shared" si="13"/>
        <v>0</v>
      </c>
      <c r="AC56">
        <f t="shared" si="14"/>
        <v>0</v>
      </c>
      <c r="AD56">
        <f t="shared" si="15"/>
        <v>0</v>
      </c>
    </row>
    <row r="57" spans="1:30" ht="22.2" thickTop="1" thickBot="1">
      <c r="A57" s="42"/>
      <c r="B57" s="37" t="s">
        <v>99</v>
      </c>
      <c r="C57" s="28"/>
      <c r="D57" s="28"/>
      <c r="E57" s="28"/>
      <c r="AA57">
        <f t="shared" si="12"/>
        <v>0</v>
      </c>
      <c r="AB57">
        <f t="shared" si="13"/>
        <v>0</v>
      </c>
      <c r="AC57">
        <f t="shared" si="14"/>
        <v>0</v>
      </c>
      <c r="AD57">
        <f t="shared" si="15"/>
        <v>0</v>
      </c>
    </row>
    <row r="58" spans="1:30" ht="22.2" thickTop="1" thickBot="1">
      <c r="A58" s="42"/>
      <c r="B58" s="37" t="s">
        <v>100</v>
      </c>
      <c r="C58" s="28"/>
      <c r="D58" s="28"/>
      <c r="E58" s="28"/>
      <c r="AA58">
        <f t="shared" si="12"/>
        <v>0</v>
      </c>
      <c r="AB58">
        <f t="shared" si="13"/>
        <v>0</v>
      </c>
      <c r="AC58">
        <f t="shared" si="14"/>
        <v>0</v>
      </c>
      <c r="AD58">
        <f t="shared" si="15"/>
        <v>0</v>
      </c>
    </row>
    <row r="59" spans="1:30" ht="22.2" thickTop="1" thickBot="1">
      <c r="A59" s="42"/>
      <c r="B59" s="37" t="s">
        <v>101</v>
      </c>
      <c r="C59" s="28"/>
      <c r="D59" s="28"/>
      <c r="E59" s="28"/>
      <c r="AA59">
        <f t="shared" si="12"/>
        <v>0</v>
      </c>
      <c r="AB59">
        <f t="shared" si="13"/>
        <v>0</v>
      </c>
      <c r="AC59">
        <f t="shared" si="14"/>
        <v>0</v>
      </c>
      <c r="AD59">
        <f t="shared" si="15"/>
        <v>0</v>
      </c>
    </row>
    <row r="60" spans="1:30" ht="22.2" thickTop="1" thickBot="1">
      <c r="A60" s="42"/>
      <c r="B60" s="37" t="s">
        <v>102</v>
      </c>
      <c r="C60" s="28"/>
      <c r="D60" s="28"/>
      <c r="E60" s="28"/>
      <c r="AA60">
        <f t="shared" si="12"/>
        <v>0</v>
      </c>
      <c r="AB60">
        <f t="shared" si="13"/>
        <v>0</v>
      </c>
      <c r="AC60">
        <f t="shared" si="14"/>
        <v>0</v>
      </c>
      <c r="AD60">
        <f t="shared" si="15"/>
        <v>0</v>
      </c>
    </row>
    <row r="61" spans="1:30" ht="43.2" thickTop="1" thickBot="1">
      <c r="A61" s="42"/>
      <c r="B61" s="37" t="s">
        <v>103</v>
      </c>
      <c r="C61" s="28"/>
      <c r="D61" s="28"/>
      <c r="E61" s="28"/>
      <c r="AA61">
        <f t="shared" si="12"/>
        <v>0</v>
      </c>
      <c r="AB61">
        <f t="shared" si="13"/>
        <v>0</v>
      </c>
      <c r="AC61">
        <f t="shared" si="14"/>
        <v>0</v>
      </c>
      <c r="AD61">
        <f t="shared" si="15"/>
        <v>0</v>
      </c>
    </row>
    <row r="62" spans="1:30" ht="43.2" thickTop="1" thickBot="1">
      <c r="A62" s="42"/>
      <c r="B62" s="37" t="s">
        <v>104</v>
      </c>
      <c r="C62" s="28"/>
      <c r="D62" s="28"/>
      <c r="E62" s="28"/>
      <c r="AA62">
        <f t="shared" si="12"/>
        <v>0</v>
      </c>
      <c r="AB62">
        <f t="shared" si="13"/>
        <v>0</v>
      </c>
      <c r="AC62">
        <f t="shared" si="14"/>
        <v>0</v>
      </c>
      <c r="AD62">
        <f t="shared" si="15"/>
        <v>0</v>
      </c>
    </row>
    <row r="63" spans="1:30" ht="43.2" thickTop="1" thickBot="1">
      <c r="A63" s="42"/>
      <c r="B63" s="37" t="s">
        <v>105</v>
      </c>
      <c r="C63" s="28"/>
      <c r="D63" s="28"/>
      <c r="E63" s="28"/>
      <c r="AA63">
        <f t="shared" si="12"/>
        <v>0</v>
      </c>
      <c r="AB63">
        <f t="shared" si="13"/>
        <v>0</v>
      </c>
      <c r="AC63">
        <f t="shared" si="14"/>
        <v>0</v>
      </c>
      <c r="AD63">
        <f t="shared" si="15"/>
        <v>0</v>
      </c>
    </row>
    <row r="64" spans="1:30" ht="64.2" thickTop="1" thickBot="1">
      <c r="A64" s="43"/>
      <c r="B64" s="37" t="s">
        <v>106</v>
      </c>
      <c r="C64" s="28"/>
      <c r="D64" s="28"/>
      <c r="E64" s="28"/>
      <c r="AA64">
        <f t="shared" si="12"/>
        <v>0</v>
      </c>
      <c r="AB64">
        <f t="shared" si="13"/>
        <v>0</v>
      </c>
      <c r="AC64">
        <f t="shared" si="14"/>
        <v>0</v>
      </c>
      <c r="AD64">
        <f t="shared" si="15"/>
        <v>0</v>
      </c>
    </row>
    <row r="65" spans="1:30" ht="64.2" thickTop="1" thickBot="1">
      <c r="A65" s="44" t="s">
        <v>107</v>
      </c>
      <c r="B65" s="45" t="s">
        <v>108</v>
      </c>
      <c r="C65" s="34"/>
      <c r="D65" s="35"/>
      <c r="E65" s="36"/>
    </row>
    <row r="66" spans="1:30" ht="22.2" thickTop="1" thickBot="1">
      <c r="A66" s="46"/>
      <c r="B66" s="37" t="s">
        <v>109</v>
      </c>
      <c r="C66" s="28"/>
      <c r="D66" s="28"/>
      <c r="E66" s="28"/>
      <c r="AA66">
        <f t="shared" ref="AA66:AA74" si="16">IF(C66="Met",1,0)</f>
        <v>0</v>
      </c>
      <c r="AB66">
        <f t="shared" ref="AB66:AB74" si="17">IF(C66="Partially Met",1,0)</f>
        <v>0</v>
      </c>
      <c r="AC66">
        <f t="shared" ref="AC66:AC74" si="18">IF(C66="UnMet",1,0)</f>
        <v>0</v>
      </c>
      <c r="AD66">
        <f t="shared" ref="AD66:AD74" si="19">IF(C66="Not Applicable",1,0)</f>
        <v>0</v>
      </c>
    </row>
    <row r="67" spans="1:30" ht="22.2" thickTop="1" thickBot="1">
      <c r="A67" s="46"/>
      <c r="B67" s="37" t="s">
        <v>110</v>
      </c>
      <c r="C67" s="28"/>
      <c r="D67" s="28"/>
      <c r="E67" s="28"/>
      <c r="AA67">
        <f t="shared" si="16"/>
        <v>0</v>
      </c>
      <c r="AB67">
        <f t="shared" si="17"/>
        <v>0</v>
      </c>
      <c r="AC67">
        <f t="shared" si="18"/>
        <v>0</v>
      </c>
      <c r="AD67">
        <f t="shared" si="19"/>
        <v>0</v>
      </c>
    </row>
    <row r="68" spans="1:30" ht="43.2" thickTop="1" thickBot="1">
      <c r="A68" s="46"/>
      <c r="B68" s="37" t="s">
        <v>111</v>
      </c>
      <c r="C68" s="28"/>
      <c r="D68" s="28"/>
      <c r="E68" s="28"/>
      <c r="AA68">
        <f t="shared" si="16"/>
        <v>0</v>
      </c>
      <c r="AB68">
        <f t="shared" si="17"/>
        <v>0</v>
      </c>
      <c r="AC68">
        <f t="shared" si="18"/>
        <v>0</v>
      </c>
      <c r="AD68">
        <f t="shared" si="19"/>
        <v>0</v>
      </c>
    </row>
    <row r="69" spans="1:30" ht="22.2" thickTop="1" thickBot="1">
      <c r="A69" s="46"/>
      <c r="B69" s="37" t="s">
        <v>112</v>
      </c>
      <c r="C69" s="28"/>
      <c r="D69" s="28"/>
      <c r="E69" s="28"/>
      <c r="AA69">
        <f t="shared" si="16"/>
        <v>0</v>
      </c>
      <c r="AB69">
        <f t="shared" si="17"/>
        <v>0</v>
      </c>
      <c r="AC69">
        <f t="shared" si="18"/>
        <v>0</v>
      </c>
      <c r="AD69">
        <f t="shared" si="19"/>
        <v>0</v>
      </c>
    </row>
    <row r="70" spans="1:30" ht="22.2" thickTop="1" thickBot="1">
      <c r="A70" s="46"/>
      <c r="B70" s="37" t="s">
        <v>113</v>
      </c>
      <c r="C70" s="28"/>
      <c r="D70" s="28"/>
      <c r="E70" s="28"/>
      <c r="AA70">
        <f t="shared" si="16"/>
        <v>0</v>
      </c>
      <c r="AB70">
        <f t="shared" si="17"/>
        <v>0</v>
      </c>
      <c r="AC70">
        <f t="shared" si="18"/>
        <v>0</v>
      </c>
      <c r="AD70">
        <f t="shared" si="19"/>
        <v>0</v>
      </c>
    </row>
    <row r="71" spans="1:30" ht="22.2" thickTop="1" thickBot="1">
      <c r="A71" s="46"/>
      <c r="B71" s="37" t="s">
        <v>114</v>
      </c>
      <c r="C71" s="28"/>
      <c r="D71" s="28"/>
      <c r="E71" s="28"/>
      <c r="AA71">
        <f t="shared" si="16"/>
        <v>0</v>
      </c>
      <c r="AB71">
        <f t="shared" si="17"/>
        <v>0</v>
      </c>
      <c r="AC71">
        <f t="shared" si="18"/>
        <v>0</v>
      </c>
      <c r="AD71">
        <f t="shared" si="19"/>
        <v>0</v>
      </c>
    </row>
    <row r="72" spans="1:30" ht="43.2" thickTop="1" thickBot="1">
      <c r="A72" s="46"/>
      <c r="B72" s="37" t="s">
        <v>115</v>
      </c>
      <c r="C72" s="28"/>
      <c r="D72" s="28"/>
      <c r="E72" s="28"/>
      <c r="AA72">
        <f t="shared" si="16"/>
        <v>0</v>
      </c>
      <c r="AB72">
        <f t="shared" si="17"/>
        <v>0</v>
      </c>
      <c r="AC72">
        <f t="shared" si="18"/>
        <v>0</v>
      </c>
      <c r="AD72">
        <f t="shared" si="19"/>
        <v>0</v>
      </c>
    </row>
    <row r="73" spans="1:30" ht="22.2" thickTop="1" thickBot="1">
      <c r="A73" s="46"/>
      <c r="B73" s="37" t="s">
        <v>116</v>
      </c>
      <c r="C73" s="28"/>
      <c r="D73" s="28"/>
      <c r="E73" s="28"/>
      <c r="AA73">
        <f t="shared" si="16"/>
        <v>0</v>
      </c>
      <c r="AB73">
        <f t="shared" si="17"/>
        <v>0</v>
      </c>
      <c r="AC73">
        <f t="shared" si="18"/>
        <v>0</v>
      </c>
      <c r="AD73">
        <f t="shared" si="19"/>
        <v>0</v>
      </c>
    </row>
    <row r="74" spans="1:30" ht="22.2" thickTop="1" thickBot="1">
      <c r="A74" s="47"/>
      <c r="B74" s="48" t="s">
        <v>117</v>
      </c>
      <c r="C74" s="28"/>
      <c r="D74" s="28"/>
      <c r="E74" s="28"/>
      <c r="AA74">
        <f t="shared" si="16"/>
        <v>0</v>
      </c>
      <c r="AB74">
        <f t="shared" si="17"/>
        <v>0</v>
      </c>
      <c r="AC74">
        <f t="shared" si="18"/>
        <v>0</v>
      </c>
      <c r="AD74">
        <f t="shared" si="19"/>
        <v>0</v>
      </c>
    </row>
    <row r="75" spans="1:30" ht="43.2" thickTop="1" thickBot="1">
      <c r="A75" s="40" t="s">
        <v>118</v>
      </c>
      <c r="B75" s="33" t="s">
        <v>119</v>
      </c>
      <c r="C75" s="34"/>
      <c r="D75" s="35"/>
      <c r="E75" s="36"/>
    </row>
    <row r="76" spans="1:30" ht="22.2" thickTop="1" thickBot="1">
      <c r="A76" s="42"/>
      <c r="B76" s="37" t="s">
        <v>120</v>
      </c>
      <c r="C76" s="28"/>
      <c r="D76" s="28"/>
      <c r="E76" s="28"/>
      <c r="AA76">
        <f t="shared" ref="AA76:AA88" si="20">IF(C76="Met",1,0)</f>
        <v>0</v>
      </c>
      <c r="AB76">
        <f t="shared" ref="AB76:AB88" si="21">IF(C76="Partially Met",1,0)</f>
        <v>0</v>
      </c>
      <c r="AC76">
        <f t="shared" ref="AC76:AC88" si="22">IF(C76="UnMet",1,0)</f>
        <v>0</v>
      </c>
      <c r="AD76">
        <f t="shared" ref="AD76:AD88" si="23">IF(C76="Not Applicable",1,0)</f>
        <v>0</v>
      </c>
    </row>
    <row r="77" spans="1:30" ht="22.2" thickTop="1" thickBot="1">
      <c r="A77" s="42"/>
      <c r="B77" s="37" t="s">
        <v>121</v>
      </c>
      <c r="C77" s="28"/>
      <c r="D77" s="28"/>
      <c r="E77" s="28"/>
      <c r="AA77">
        <f t="shared" si="20"/>
        <v>0</v>
      </c>
      <c r="AB77">
        <f t="shared" si="21"/>
        <v>0</v>
      </c>
      <c r="AC77">
        <f t="shared" si="22"/>
        <v>0</v>
      </c>
      <c r="AD77">
        <f t="shared" si="23"/>
        <v>0</v>
      </c>
    </row>
    <row r="78" spans="1:30" ht="22.2" thickTop="1" thickBot="1">
      <c r="A78" s="42"/>
      <c r="B78" s="37" t="s">
        <v>122</v>
      </c>
      <c r="C78" s="28"/>
      <c r="D78" s="28"/>
      <c r="E78" s="28"/>
      <c r="AA78">
        <f t="shared" si="20"/>
        <v>0</v>
      </c>
      <c r="AB78">
        <f t="shared" si="21"/>
        <v>0</v>
      </c>
      <c r="AC78">
        <f t="shared" si="22"/>
        <v>0</v>
      </c>
      <c r="AD78">
        <f t="shared" si="23"/>
        <v>0</v>
      </c>
    </row>
    <row r="79" spans="1:30" ht="22.2" thickTop="1" thickBot="1">
      <c r="A79" s="42"/>
      <c r="B79" s="37" t="s">
        <v>123</v>
      </c>
      <c r="C79" s="28"/>
      <c r="D79" s="28"/>
      <c r="E79" s="28"/>
      <c r="AA79">
        <f t="shared" si="20"/>
        <v>0</v>
      </c>
      <c r="AB79">
        <f t="shared" si="21"/>
        <v>0</v>
      </c>
      <c r="AC79">
        <f t="shared" si="22"/>
        <v>0</v>
      </c>
      <c r="AD79">
        <f t="shared" si="23"/>
        <v>0</v>
      </c>
    </row>
    <row r="80" spans="1:30" ht="22.2" thickTop="1" thickBot="1">
      <c r="A80" s="42"/>
      <c r="B80" s="37" t="s">
        <v>124</v>
      </c>
      <c r="C80" s="28"/>
      <c r="D80" s="28"/>
      <c r="E80" s="28"/>
      <c r="AA80">
        <f t="shared" si="20"/>
        <v>0</v>
      </c>
      <c r="AB80">
        <f t="shared" si="21"/>
        <v>0</v>
      </c>
      <c r="AC80">
        <f t="shared" si="22"/>
        <v>0</v>
      </c>
      <c r="AD80">
        <f t="shared" si="23"/>
        <v>0</v>
      </c>
    </row>
    <row r="81" spans="1:32" ht="22.2" thickTop="1" thickBot="1">
      <c r="A81" s="42"/>
      <c r="B81" s="37" t="s">
        <v>125</v>
      </c>
      <c r="C81" s="28"/>
      <c r="D81" s="28"/>
      <c r="E81" s="28"/>
      <c r="AA81">
        <f t="shared" si="20"/>
        <v>0</v>
      </c>
      <c r="AB81">
        <f t="shared" si="21"/>
        <v>0</v>
      </c>
      <c r="AC81">
        <f t="shared" si="22"/>
        <v>0</v>
      </c>
      <c r="AD81">
        <f t="shared" si="23"/>
        <v>0</v>
      </c>
    </row>
    <row r="82" spans="1:32" ht="22.2" thickTop="1" thickBot="1">
      <c r="A82" s="42"/>
      <c r="B82" s="37" t="s">
        <v>126</v>
      </c>
      <c r="C82" s="28"/>
      <c r="D82" s="28"/>
      <c r="E82" s="28"/>
      <c r="AA82">
        <f t="shared" si="20"/>
        <v>0</v>
      </c>
      <c r="AB82">
        <f t="shared" si="21"/>
        <v>0</v>
      </c>
      <c r="AC82">
        <f t="shared" si="22"/>
        <v>0</v>
      </c>
      <c r="AD82">
        <f t="shared" si="23"/>
        <v>0</v>
      </c>
    </row>
    <row r="83" spans="1:32" ht="22.2" thickTop="1" thickBot="1">
      <c r="A83" s="42"/>
      <c r="B83" s="37" t="s">
        <v>127</v>
      </c>
      <c r="C83" s="28"/>
      <c r="D83" s="28"/>
      <c r="E83" s="28"/>
      <c r="AA83">
        <f t="shared" si="20"/>
        <v>0</v>
      </c>
      <c r="AB83">
        <f t="shared" si="21"/>
        <v>0</v>
      </c>
      <c r="AC83">
        <f t="shared" si="22"/>
        <v>0</v>
      </c>
      <c r="AD83">
        <f t="shared" si="23"/>
        <v>0</v>
      </c>
    </row>
    <row r="84" spans="1:32" ht="22.2" thickTop="1" thickBot="1">
      <c r="A84" s="42"/>
      <c r="B84" s="37" t="s">
        <v>128</v>
      </c>
      <c r="C84" s="28"/>
      <c r="D84" s="28"/>
      <c r="E84" s="28"/>
      <c r="AA84">
        <f t="shared" si="20"/>
        <v>0</v>
      </c>
      <c r="AB84">
        <f t="shared" si="21"/>
        <v>0</v>
      </c>
      <c r="AC84">
        <f t="shared" si="22"/>
        <v>0</v>
      </c>
      <c r="AD84">
        <f t="shared" si="23"/>
        <v>0</v>
      </c>
    </row>
    <row r="85" spans="1:32" ht="22.2" thickTop="1" thickBot="1">
      <c r="A85" s="43"/>
      <c r="B85" s="37" t="s">
        <v>129</v>
      </c>
      <c r="C85" s="28"/>
      <c r="D85" s="28"/>
      <c r="E85" s="28"/>
      <c r="AA85">
        <f t="shared" si="20"/>
        <v>0</v>
      </c>
      <c r="AB85">
        <f t="shared" si="21"/>
        <v>0</v>
      </c>
      <c r="AC85">
        <f t="shared" si="22"/>
        <v>0</v>
      </c>
      <c r="AD85">
        <f t="shared" si="23"/>
        <v>0</v>
      </c>
    </row>
    <row r="86" spans="1:32" ht="22.2" thickTop="1" thickBot="1">
      <c r="A86" s="44" t="s">
        <v>130</v>
      </c>
      <c r="B86" s="49" t="s">
        <v>131</v>
      </c>
      <c r="C86" s="28"/>
      <c r="D86" s="28"/>
      <c r="E86" s="28"/>
      <c r="AA86">
        <f t="shared" si="20"/>
        <v>0</v>
      </c>
      <c r="AB86">
        <f t="shared" si="21"/>
        <v>0</v>
      </c>
      <c r="AC86">
        <f t="shared" si="22"/>
        <v>0</v>
      </c>
      <c r="AD86">
        <f t="shared" si="23"/>
        <v>0</v>
      </c>
    </row>
    <row r="87" spans="1:32" ht="22.2" thickTop="1" thickBot="1">
      <c r="A87" s="44" t="s">
        <v>132</v>
      </c>
      <c r="B87" s="49" t="s">
        <v>133</v>
      </c>
      <c r="C87" s="28"/>
      <c r="D87" s="28"/>
      <c r="E87" s="28"/>
      <c r="AA87">
        <f t="shared" si="20"/>
        <v>0</v>
      </c>
      <c r="AB87">
        <f t="shared" si="21"/>
        <v>0</v>
      </c>
      <c r="AC87">
        <f t="shared" si="22"/>
        <v>0</v>
      </c>
      <c r="AD87">
        <f t="shared" si="23"/>
        <v>0</v>
      </c>
    </row>
    <row r="88" spans="1:32" ht="22.2" thickTop="1" thickBot="1">
      <c r="A88" s="44" t="s">
        <v>134</v>
      </c>
      <c r="B88" s="50" t="s">
        <v>135</v>
      </c>
      <c r="C88" s="28"/>
      <c r="D88" s="28"/>
      <c r="E88" s="28"/>
      <c r="AA88">
        <f t="shared" si="20"/>
        <v>0</v>
      </c>
      <c r="AB88">
        <f t="shared" si="21"/>
        <v>0</v>
      </c>
      <c r="AC88">
        <f t="shared" si="22"/>
        <v>0</v>
      </c>
      <c r="AD88">
        <f t="shared" si="23"/>
        <v>0</v>
      </c>
    </row>
    <row r="89" spans="1:32" ht="81" customHeight="1" thickTop="1" thickBot="1">
      <c r="A89" s="29" t="s">
        <v>136</v>
      </c>
      <c r="B89" s="51" t="s">
        <v>137</v>
      </c>
      <c r="C89" s="23" t="s">
        <v>56</v>
      </c>
      <c r="D89" s="24"/>
      <c r="E89" s="25" t="str">
        <f>"Quotation: "&amp;ROUND((AE89/AF89)*100,2)&amp;"%"</f>
        <v>Quotation: 0%</v>
      </c>
      <c r="AE89">
        <f>SUM(AA90:AA97)+SUM(AB90:AB97)*0.5</f>
        <v>0</v>
      </c>
      <c r="AF89">
        <f>COUNT(AA90:AA97)-SUM(AD90:AD97)</f>
        <v>8</v>
      </c>
    </row>
    <row r="90" spans="1:32" ht="43.2" thickTop="1" thickBot="1">
      <c r="A90" s="44" t="s">
        <v>138</v>
      </c>
      <c r="B90" s="49" t="s">
        <v>139</v>
      </c>
      <c r="C90" s="28"/>
      <c r="D90" s="28"/>
      <c r="E90" s="28"/>
      <c r="AA90">
        <f t="shared" ref="AA90:AA97" si="24">IF(C90="Met",1,0)</f>
        <v>0</v>
      </c>
      <c r="AB90">
        <f t="shared" ref="AB90:AB97" si="25">IF(C90="Partially Met",1,0)</f>
        <v>0</v>
      </c>
      <c r="AC90">
        <f t="shared" ref="AC90:AC97" si="26">IF(C90="UnMet",1,0)</f>
        <v>0</v>
      </c>
      <c r="AD90">
        <f t="shared" ref="AD90:AD97" si="27">IF(C90="Not Applicable",1,0)</f>
        <v>0</v>
      </c>
    </row>
    <row r="91" spans="1:32" ht="64.2" thickTop="1" thickBot="1">
      <c r="A91" s="44" t="s">
        <v>140</v>
      </c>
      <c r="B91" s="49" t="s">
        <v>141</v>
      </c>
      <c r="C91" s="28"/>
      <c r="D91" s="28"/>
      <c r="E91" s="28"/>
      <c r="AA91">
        <f t="shared" si="24"/>
        <v>0</v>
      </c>
      <c r="AB91">
        <f t="shared" si="25"/>
        <v>0</v>
      </c>
      <c r="AC91">
        <f t="shared" si="26"/>
        <v>0</v>
      </c>
      <c r="AD91">
        <f t="shared" si="27"/>
        <v>0</v>
      </c>
    </row>
    <row r="92" spans="1:32" ht="43.2" thickTop="1" thickBot="1">
      <c r="A92" s="44" t="s">
        <v>142</v>
      </c>
      <c r="B92" s="49" t="s">
        <v>143</v>
      </c>
      <c r="C92" s="28"/>
      <c r="D92" s="28"/>
      <c r="E92" s="28"/>
      <c r="AA92">
        <f t="shared" si="24"/>
        <v>0</v>
      </c>
      <c r="AB92">
        <f t="shared" si="25"/>
        <v>0</v>
      </c>
      <c r="AC92">
        <f t="shared" si="26"/>
        <v>0</v>
      </c>
      <c r="AD92">
        <f t="shared" si="27"/>
        <v>0</v>
      </c>
    </row>
    <row r="93" spans="1:32" ht="64.2" thickTop="1" thickBot="1">
      <c r="A93" s="44" t="s">
        <v>144</v>
      </c>
      <c r="B93" s="49" t="s">
        <v>145</v>
      </c>
      <c r="C93" s="28"/>
      <c r="D93" s="28"/>
      <c r="E93" s="28"/>
      <c r="AA93">
        <f t="shared" si="24"/>
        <v>0</v>
      </c>
      <c r="AB93">
        <f t="shared" si="25"/>
        <v>0</v>
      </c>
      <c r="AC93">
        <f t="shared" si="26"/>
        <v>0</v>
      </c>
      <c r="AD93">
        <f t="shared" si="27"/>
        <v>0</v>
      </c>
    </row>
    <row r="94" spans="1:32" ht="43.2" thickTop="1" thickBot="1">
      <c r="A94" s="44" t="s">
        <v>146</v>
      </c>
      <c r="B94" s="49" t="s">
        <v>147</v>
      </c>
      <c r="C94" s="28"/>
      <c r="D94" s="28"/>
      <c r="E94" s="28"/>
      <c r="AA94">
        <f t="shared" si="24"/>
        <v>0</v>
      </c>
      <c r="AB94">
        <f t="shared" si="25"/>
        <v>0</v>
      </c>
      <c r="AC94">
        <f t="shared" si="26"/>
        <v>0</v>
      </c>
      <c r="AD94">
        <f t="shared" si="27"/>
        <v>0</v>
      </c>
    </row>
    <row r="95" spans="1:32" ht="22.2" thickTop="1" thickBot="1">
      <c r="A95" s="44" t="s">
        <v>148</v>
      </c>
      <c r="B95" s="49" t="s">
        <v>149</v>
      </c>
      <c r="C95" s="28"/>
      <c r="D95" s="28"/>
      <c r="E95" s="28"/>
      <c r="AA95">
        <f t="shared" si="24"/>
        <v>0</v>
      </c>
      <c r="AB95">
        <f t="shared" si="25"/>
        <v>0</v>
      </c>
      <c r="AC95">
        <f t="shared" si="26"/>
        <v>0</v>
      </c>
      <c r="AD95">
        <f t="shared" si="27"/>
        <v>0</v>
      </c>
    </row>
    <row r="96" spans="1:32" ht="43.2" thickTop="1" thickBot="1">
      <c r="A96" s="44" t="s">
        <v>150</v>
      </c>
      <c r="B96" s="49" t="s">
        <v>151</v>
      </c>
      <c r="C96" s="28"/>
      <c r="D96" s="28"/>
      <c r="E96" s="28"/>
      <c r="AA96">
        <f t="shared" si="24"/>
        <v>0</v>
      </c>
      <c r="AB96">
        <f t="shared" si="25"/>
        <v>0</v>
      </c>
      <c r="AC96">
        <f t="shared" si="26"/>
        <v>0</v>
      </c>
      <c r="AD96">
        <f t="shared" si="27"/>
        <v>0</v>
      </c>
    </row>
    <row r="97" spans="1:32" ht="22.2" thickTop="1" thickBot="1">
      <c r="A97" s="44" t="s">
        <v>152</v>
      </c>
      <c r="B97" s="49" t="s">
        <v>153</v>
      </c>
      <c r="C97" s="28"/>
      <c r="D97" s="28"/>
      <c r="E97" s="28"/>
      <c r="AA97">
        <f t="shared" si="24"/>
        <v>0</v>
      </c>
      <c r="AB97">
        <f t="shared" si="25"/>
        <v>0</v>
      </c>
      <c r="AC97">
        <f t="shared" si="26"/>
        <v>0</v>
      </c>
      <c r="AD97">
        <f t="shared" si="27"/>
        <v>0</v>
      </c>
    </row>
    <row r="98" spans="1:32" ht="90" customHeight="1" thickTop="1" thickBot="1">
      <c r="A98" s="29" t="s">
        <v>154</v>
      </c>
      <c r="B98" s="29" t="s">
        <v>155</v>
      </c>
      <c r="C98" s="23" t="s">
        <v>156</v>
      </c>
      <c r="D98" s="24"/>
      <c r="E98" s="25" t="str">
        <f>"Quotation: "&amp;ROUND((AE98/AF98)*100,2)&amp;"%"</f>
        <v>Quotation: 0%</v>
      </c>
      <c r="AE98">
        <f>SUM(AA99:AA102)+SUM(AB99:AB102)*0.5</f>
        <v>0</v>
      </c>
      <c r="AF98">
        <f>COUNT(AA99:AA102)-SUM(AD99:AD102)</f>
        <v>4</v>
      </c>
    </row>
    <row r="99" spans="1:32" ht="43.2" thickTop="1" thickBot="1">
      <c r="A99" s="52" t="s">
        <v>157</v>
      </c>
      <c r="B99" s="53" t="s">
        <v>158</v>
      </c>
      <c r="C99" s="28"/>
      <c r="D99" s="28"/>
      <c r="E99" s="28"/>
      <c r="AA99">
        <f>IF(C99="Met",1,0)</f>
        <v>0</v>
      </c>
      <c r="AB99">
        <f>IF(C99="Partially Met",1,0)</f>
        <v>0</v>
      </c>
      <c r="AC99">
        <f>IF(C99="UnMet",1,0)</f>
        <v>0</v>
      </c>
      <c r="AD99">
        <f>IF(C99="Not Applicable",1,0)</f>
        <v>0</v>
      </c>
    </row>
    <row r="100" spans="1:32" ht="57.75" customHeight="1" thickTop="1" thickBot="1">
      <c r="A100" s="54" t="s">
        <v>159</v>
      </c>
      <c r="B100" s="53" t="s">
        <v>160</v>
      </c>
      <c r="C100" s="28"/>
      <c r="D100" s="28"/>
      <c r="E100" s="28"/>
      <c r="AA100">
        <f>IF(C100="Met",1,0)</f>
        <v>0</v>
      </c>
      <c r="AB100">
        <f>IF(C100="Partially Met",1,0)</f>
        <v>0</v>
      </c>
      <c r="AC100">
        <f>IF(C100="UnMet",1,0)</f>
        <v>0</v>
      </c>
      <c r="AD100">
        <f>IF(C100="Not Applicable",1,0)</f>
        <v>0</v>
      </c>
    </row>
    <row r="101" spans="1:32" ht="43.2" thickTop="1" thickBot="1">
      <c r="A101" s="54" t="s">
        <v>161</v>
      </c>
      <c r="B101" s="53" t="s">
        <v>162</v>
      </c>
      <c r="C101" s="28"/>
      <c r="D101" s="28"/>
      <c r="E101" s="28"/>
      <c r="AA101">
        <f>IF(C101="Met",1,0)</f>
        <v>0</v>
      </c>
      <c r="AB101">
        <f>IF(C101="Partially Met",1,0)</f>
        <v>0</v>
      </c>
      <c r="AC101">
        <f>IF(C101="UnMet",1,0)</f>
        <v>0</v>
      </c>
      <c r="AD101">
        <f>IF(C101="Not Applicable",1,0)</f>
        <v>0</v>
      </c>
    </row>
    <row r="102" spans="1:32" ht="43.2" thickTop="1" thickBot="1">
      <c r="A102" s="55" t="s">
        <v>163</v>
      </c>
      <c r="B102" s="53" t="s">
        <v>164</v>
      </c>
      <c r="C102" s="28"/>
      <c r="D102" s="28"/>
      <c r="E102" s="28"/>
      <c r="AA102">
        <f>IF(C102="Met",1,0)</f>
        <v>0</v>
      </c>
      <c r="AB102">
        <f>IF(C102="Partially Met",1,0)</f>
        <v>0</v>
      </c>
      <c r="AC102">
        <f>IF(C102="UnMet",1,0)</f>
        <v>0</v>
      </c>
      <c r="AD102">
        <f>IF(C102="Not Applicable",1,0)</f>
        <v>0</v>
      </c>
    </row>
  </sheetData>
  <sheetProtection algorithmName="SHA-512" hashValue="DKg5jleqTpglds+yri4gSbshCLCtBIsbvq0sW2L1+iofo3rqVqz2Kvrel26tCqfoQXlUEQQXMqfc30JMO031UQ==" saltValue="asM9Q9BDLUXtbLrnTqf66w==" spinCount="100000" sheet="1" objects="1" scenarios="1"/>
  <mergeCells count="20">
    <mergeCell ref="C89:D89"/>
    <mergeCell ref="C98:D98"/>
    <mergeCell ref="C47:D47"/>
    <mergeCell ref="A48:A64"/>
    <mergeCell ref="C48:E48"/>
    <mergeCell ref="C65:E65"/>
    <mergeCell ref="A75:A85"/>
    <mergeCell ref="C75:E75"/>
    <mergeCell ref="C11:D11"/>
    <mergeCell ref="C19:D19"/>
    <mergeCell ref="A20:A28"/>
    <mergeCell ref="C20:E20"/>
    <mergeCell ref="C32:D32"/>
    <mergeCell ref="C41:D41"/>
    <mergeCell ref="A1:E1"/>
    <mergeCell ref="A2:E2"/>
    <mergeCell ref="A3:E3"/>
    <mergeCell ref="C4:E4"/>
    <mergeCell ref="A6:E6"/>
    <mergeCell ref="C7:D7"/>
  </mergeCells>
  <dataValidations count="1">
    <dataValidation type="list" showInputMessage="1" showErrorMessage="1" sqref="C8:C10 C12:C18 C21:C31 C33:C40 C42:C46 C49:C64 C66:C74 C76:C88 C90:C97 C99:C102">
      <formula1>"Met,Partially Met,UnMet,Not Applicable"</formula1>
    </dataValidation>
  </dataValidations>
  <pageMargins left="0.74803149606299202" right="0.74803149606299202" top="0.98425196850393704" bottom="0.98425196850393704" header="0.511811023622047" footer="0.511811023622047"/>
  <pageSetup scale="36" orientation="landscape"/>
  <rowBreaks count="4" manualBreakCount="4">
    <brk id="18" max="5" man="1"/>
    <brk id="40" max="5" man="1"/>
    <brk id="64" max="5" man="1"/>
    <brk id="88"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SMCS11</vt:lpstr>
      <vt:lpstr>SMCS11!Print_Area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Ashraf Musa</dc:creator>
  <cp:lastModifiedBy>Ashraf Musa</cp:lastModifiedBy>
  <dcterms:created xsi:type="dcterms:W3CDTF">2025-08-22T13:37:58Z</dcterms:created>
  <dcterms:modified xsi:type="dcterms:W3CDTF">2025-08-22T13:37:59Z</dcterms:modified>
</cp:coreProperties>
</file>