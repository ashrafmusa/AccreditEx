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AMEH\Downloads\"/>
    </mc:Choice>
  </mc:AlternateContent>
  <bookViews>
    <workbookView xWindow="0" yWindow="0" windowWidth="23040" windowHeight="8784"/>
  </bookViews>
  <sheets>
    <sheet name="SMCS.12" sheetId="1" r:id="rId1"/>
  </sheets>
  <definedNames>
    <definedName name="_xlnm.Print_Area" localSheetId="0">SMCS.12!$A$1:$F$49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48" i="1" l="1"/>
  <c r="AC48" i="1"/>
  <c r="AB48" i="1"/>
  <c r="AA48" i="1"/>
  <c r="AD47" i="1"/>
  <c r="AC47" i="1"/>
  <c r="AB47" i="1"/>
  <c r="AA47" i="1"/>
  <c r="AD46" i="1"/>
  <c r="AC46" i="1"/>
  <c r="AB46" i="1"/>
  <c r="AA46" i="1"/>
  <c r="AD45" i="1"/>
  <c r="AC45" i="1"/>
  <c r="AB45" i="1"/>
  <c r="AA45" i="1"/>
  <c r="AD43" i="1"/>
  <c r="AC43" i="1"/>
  <c r="AB43" i="1"/>
  <c r="AA43" i="1"/>
  <c r="AD42" i="1"/>
  <c r="AC42" i="1"/>
  <c r="AB42" i="1"/>
  <c r="AA42" i="1"/>
  <c r="AD41" i="1"/>
  <c r="AC41" i="1"/>
  <c r="AB41" i="1"/>
  <c r="AA41" i="1"/>
  <c r="AD40" i="1"/>
  <c r="AC40" i="1"/>
  <c r="AB40" i="1"/>
  <c r="AA40" i="1"/>
  <c r="AF39" i="1" s="1"/>
  <c r="AD38" i="1"/>
  <c r="AC38" i="1"/>
  <c r="AB38" i="1"/>
  <c r="AA38" i="1"/>
  <c r="AD37" i="1"/>
  <c r="AC37" i="1"/>
  <c r="AB37" i="1"/>
  <c r="AA37" i="1"/>
  <c r="AD36" i="1"/>
  <c r="AC36" i="1"/>
  <c r="AB36" i="1"/>
  <c r="AA36" i="1"/>
  <c r="AD35" i="1"/>
  <c r="AC35" i="1"/>
  <c r="AB35" i="1"/>
  <c r="AA35" i="1"/>
  <c r="AD34" i="1"/>
  <c r="AC34" i="1"/>
  <c r="AB34" i="1"/>
  <c r="AA34" i="1"/>
  <c r="AF31" i="1" s="1"/>
  <c r="AD33" i="1"/>
  <c r="AC33" i="1"/>
  <c r="AB33" i="1"/>
  <c r="AA33" i="1"/>
  <c r="AD30" i="1"/>
  <c r="AC30" i="1"/>
  <c r="AB30" i="1"/>
  <c r="AA30" i="1"/>
  <c r="AD29" i="1"/>
  <c r="AC29" i="1"/>
  <c r="AB29" i="1"/>
  <c r="AA29" i="1"/>
  <c r="AD28" i="1"/>
  <c r="AC28" i="1"/>
  <c r="AB28" i="1"/>
  <c r="AA28" i="1"/>
  <c r="AD27" i="1"/>
  <c r="AC27" i="1"/>
  <c r="AB27" i="1"/>
  <c r="AA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3" i="1"/>
  <c r="AC23" i="1"/>
  <c r="AB23" i="1"/>
  <c r="AA23" i="1"/>
  <c r="AD22" i="1"/>
  <c r="AC22" i="1"/>
  <c r="AB22" i="1"/>
  <c r="AA22" i="1"/>
  <c r="AD21" i="1"/>
  <c r="AC21" i="1"/>
  <c r="AB21" i="1"/>
  <c r="AA21" i="1"/>
  <c r="AD20" i="1"/>
  <c r="AC20" i="1"/>
  <c r="AB20" i="1"/>
  <c r="AA20" i="1"/>
  <c r="AD19" i="1"/>
  <c r="AC19" i="1"/>
  <c r="AB19" i="1"/>
  <c r="AA19" i="1"/>
  <c r="AD18" i="1"/>
  <c r="AC18" i="1"/>
  <c r="AB18" i="1"/>
  <c r="AA18" i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F12" i="1" s="1"/>
  <c r="AD14" i="1"/>
  <c r="AC14" i="1"/>
  <c r="AB14" i="1"/>
  <c r="AA14" i="1"/>
  <c r="AE12" i="1"/>
  <c r="AD11" i="1"/>
  <c r="AC11" i="1"/>
  <c r="AB11" i="1"/>
  <c r="AA11" i="1"/>
  <c r="AD10" i="1"/>
  <c r="AC10" i="1"/>
  <c r="AB10" i="1"/>
  <c r="AA10" i="1"/>
  <c r="AD9" i="1"/>
  <c r="AC9" i="1"/>
  <c r="AB9" i="1"/>
  <c r="AE7" i="1" s="1"/>
  <c r="E7" i="1" s="1"/>
  <c r="AA9" i="1"/>
  <c r="AD8" i="1"/>
  <c r="AC8" i="1"/>
  <c r="AB8" i="1"/>
  <c r="AA8" i="1"/>
  <c r="AB4" i="1" s="1"/>
  <c r="AF7" i="1"/>
  <c r="E12" i="1" l="1"/>
  <c r="AE31" i="1"/>
  <c r="E31" i="1" s="1"/>
  <c r="AA4" i="1"/>
  <c r="C4" i="1" s="1"/>
  <c r="AE39" i="1"/>
  <c r="E39" i="1" s="1"/>
</calcChain>
</file>

<file path=xl/sharedStrings.xml><?xml version="1.0" encoding="utf-8"?>
<sst xmlns="http://schemas.openxmlformats.org/spreadsheetml/2006/main" count="78" uniqueCount="78">
  <si>
    <t xml:space="preserve"> Quality Assurance Center </t>
  </si>
  <si>
    <t xml:space="preserve">Oman Healthcare Accrediation System </t>
  </si>
  <si>
    <t xml:space="preserve">Self Assessment Tool (SAT) </t>
  </si>
  <si>
    <t>Chapter 4</t>
  </si>
  <si>
    <t>Specialized Medical Care Services (SMCS)</t>
  </si>
  <si>
    <t>Conformity Level</t>
  </si>
  <si>
    <t xml:space="preserve">Evidence </t>
  </si>
  <si>
    <t xml:space="preserve">Comments </t>
  </si>
  <si>
    <t>Respiratory Therapy  service</t>
  </si>
  <si>
    <t>MSCS.113</t>
  </si>
  <si>
    <t xml:space="preserve">The hospital has a Respiratory Therapy care provision, covering twenty-four seven.  </t>
  </si>
  <si>
    <t>Total Measures: 4</t>
  </si>
  <si>
    <t xml:space="preserve">MSCS.113.a </t>
  </si>
  <si>
    <t>The hospital has respiratory care service provided 24 hours seven days a week (24/7), covering ED, ICU (adult ICU, pediatric ICU, Neonatal ICU).</t>
  </si>
  <si>
    <t xml:space="preserve">MSCS.113.b  </t>
  </si>
  <si>
    <t xml:space="preserve">The respiratory care service team has clear scope of service with clear roles and responsibilities. </t>
  </si>
  <si>
    <t xml:space="preserve">MSCS.113.c  </t>
  </si>
  <si>
    <t xml:space="preserve">The respiratory care team is directed (Lead) by qualified respiratory therapies by education with at least bachelor’s in respiratory care science, training and experience in respiratory care. </t>
  </si>
  <si>
    <t>MSCS.113.d</t>
  </si>
  <si>
    <t xml:space="preserve">All respiratory care staff are trained, experienced in respiratory care and certified in advance life support applicable to the age category they serve.  </t>
  </si>
  <si>
    <t>MSCS.114</t>
  </si>
  <si>
    <t>Hospital has clear policies and procedures to guide the respiratory care service.</t>
  </si>
  <si>
    <t>Total Measures:17</t>
  </si>
  <si>
    <t xml:space="preserve">MSCS.114.a   </t>
  </si>
  <si>
    <t xml:space="preserve">The team has policies and procedures to guide the provision of service, covering: </t>
  </si>
  <si>
    <t xml:space="preserve">Equipment use and calibration.  </t>
  </si>
  <si>
    <t xml:space="preserve">Pulmonary function test (PFT). </t>
  </si>
  <si>
    <t xml:space="preserve">Dealing with infected case. </t>
  </si>
  <si>
    <t xml:space="preserve">Mechanical ventilator support. </t>
  </si>
  <si>
    <t>Troubleshooting the ventilators.</t>
  </si>
  <si>
    <t xml:space="preserve">Dealing with different types of masks. </t>
  </si>
  <si>
    <t xml:space="preserve">Infection prevention and control guideline for respiratory equipment.  </t>
  </si>
  <si>
    <t>Use Auto feed humidification for ICU ventilator in critical care.  unit (Adult, Pediatric &amp; neonatal)</t>
  </si>
  <si>
    <t xml:space="preserve">Use arerosal therapy.  </t>
  </si>
  <si>
    <t>VAP guidelines.</t>
  </si>
  <si>
    <t xml:space="preserve">Assisting in tracheostomy and bronchoscopy procedures. </t>
  </si>
  <si>
    <t>Collecting and processing arterial blood gases.</t>
  </si>
  <si>
    <t>Escorting ventilated patients in and out hospital</t>
  </si>
  <si>
    <t xml:space="preserve">MSCS.114.b  </t>
  </si>
  <si>
    <t>Policies are approved by head of respiratory team, head of intensive care department, and hospital top management.</t>
  </si>
  <si>
    <t xml:space="preserve">MSCS.114.c  </t>
  </si>
  <si>
    <t xml:space="preserve">All respiratory team staff are well oriented on the policies. </t>
  </si>
  <si>
    <t xml:space="preserve">MSCS.114.d  </t>
  </si>
  <si>
    <t xml:space="preserve">The policies are properly implemented by the respiratory care team.  </t>
  </si>
  <si>
    <t xml:space="preserve">MSCS.114.e  </t>
  </si>
  <si>
    <t xml:space="preserve">There is regular monitoring and audit for the staff to assess their compliance to the policies. </t>
  </si>
  <si>
    <t>MSCS.115</t>
  </si>
  <si>
    <t>Respiratory care service equipment undergoes regular calibration and maintenance</t>
  </si>
  <si>
    <t>Total Measures:6</t>
  </si>
  <si>
    <t xml:space="preserve">MSCS.115.a  </t>
  </si>
  <si>
    <t>All respiratory care equipment is calibrated and operated as per the operation guide and manufacturer’s specifications. Major Calibration includes:</t>
  </si>
  <si>
    <t>Flow Sensor Test</t>
  </si>
  <si>
    <t>Leak Test/ Tightness Test</t>
  </si>
  <si>
    <t>Oxygen Sensor Test</t>
  </si>
  <si>
    <t xml:space="preserve">MSCS.115.b </t>
  </si>
  <si>
    <t xml:space="preserve">There is regular periodic preventative maintenance as per the manufacturer recommendations with clear documentation.  </t>
  </si>
  <si>
    <t xml:space="preserve">MSCS.115.c  </t>
  </si>
  <si>
    <t xml:space="preserve">There is clear guide for circuit change after each use. </t>
  </si>
  <si>
    <t xml:space="preserve">MSCS.115.d  </t>
  </si>
  <si>
    <t>Equipment calibration is done after each use, according to the patient age category (Infant, Pediatric or Adult)</t>
  </si>
  <si>
    <t>MSCS.116</t>
  </si>
  <si>
    <t xml:space="preserve">The hospital implements various approaches to maintain competency of the respiratory therapist team. </t>
  </si>
  <si>
    <t>Total Measures: 8</t>
  </si>
  <si>
    <t xml:space="preserve">MSCS.116.a </t>
  </si>
  <si>
    <t>The hospital has a structured approach to promote the competency of respiratory care staff, through clinical training and updated programs and policies, mandatory training as per specialty, continuous monitoring, through clinical competency, etc.</t>
  </si>
  <si>
    <t xml:space="preserve">MSCS.116.b  </t>
  </si>
  <si>
    <t xml:space="preserve">Respiratory staff attend orientation program. </t>
  </si>
  <si>
    <t xml:space="preserve">MSCS.116.c  </t>
  </si>
  <si>
    <t xml:space="preserve">All Respiratory therapists receive ongoing training and educations, within the unit protocols and guides. </t>
  </si>
  <si>
    <t>MSCS.116.d</t>
  </si>
  <si>
    <t xml:space="preserve">All Respiratory therapists has valid BLS/ACLS certification.  </t>
  </si>
  <si>
    <t>MSCS.116.e</t>
  </si>
  <si>
    <t>There is Annual assessment by written examinations and knowledge in practice focused on:</t>
  </si>
  <si>
    <t xml:space="preserve">a. Patient assessment. </t>
  </si>
  <si>
    <t xml:space="preserve">b. Initiation and follow-up of Mechanical ventilation. </t>
  </si>
  <si>
    <t xml:space="preserve">c. Laboratory and Diagnostic Results.  </t>
  </si>
  <si>
    <t>MSCS.116.f</t>
  </si>
  <si>
    <t xml:space="preserve">All training and competency records are maintained in staff personal files.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</si>
</sst>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2"/>
      <color theme="1"/>
      <name val="Calibri"/>
      <charset val="134"/>
      <scheme val="minor"/>
    </font>
    <font>
      <b/>
      <sz val="16"/>
      <color rgb="FF000000"/>
      <name val="Times New Roman"/>
      <charset val="134"/>
    </font>
    <font>
      <sz val="16"/>
      <color rgb="FF00000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8"/>
      <color rgb="FFC00000"/>
      <name val="Times New Roman"/>
      <charset val="134"/>
    </font>
    <font>
      <b/>
      <sz val="16"/>
      <name val="Times New Roman"/>
      <charset val="134"/>
    </font>
    <font>
      <b/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6"/>
      <color theme="1"/>
      <name val="Times New Roman"/>
      <charset val="134"/>
    </font>
    <font>
      <sz val="16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1" fillId="4" borderId="5" xfId="0" applyFont="1" applyFill="1" applyBorder="1" applyAlignment="1">
      <alignment horizontal="center" vertical="center"/>
    </xf>
    <xf numFmtId="0" fontId="4" fillId="5" borderId="6" xfId="1" applyFont="1" applyBorder="1" applyAlignment="1">
      <alignment horizontal="center" vertical="center"/>
    </xf>
    <xf numFmtId="0" fontId="4" fillId="5" borderId="5" xfId="1" applyFont="1" applyBorder="1" applyAlignment="1">
      <alignment horizontal="center" vertical="center"/>
    </xf>
    <xf numFmtId="0" fontId="4" fillId="5" borderId="7" xfId="1" applyFont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vertical="center"/>
    </xf>
    <xf numFmtId="0" fontId="6" fillId="7" borderId="8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top" wrapText="1"/>
    </xf>
    <xf numFmtId="0" fontId="8" fillId="8" borderId="10" xfId="0" applyFont="1" applyFill="1" applyBorder="1" applyAlignment="1">
      <alignment horizontal="center" vertical="top" wrapText="1"/>
    </xf>
    <xf numFmtId="0" fontId="8" fillId="8" borderId="11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vertical="center" wrapText="1"/>
    </xf>
    <xf numFmtId="0" fontId="9" fillId="9" borderId="9" xfId="0" applyFont="1" applyFill="1" applyBorder="1" applyAlignment="1">
      <alignment horizontal="left" vertical="center"/>
    </xf>
    <xf numFmtId="0" fontId="9" fillId="9" borderId="11" xfId="0" applyFont="1" applyFill="1" applyBorder="1" applyAlignment="1">
      <alignment horizontal="left" vertical="center"/>
    </xf>
    <xf numFmtId="0" fontId="9" fillId="9" borderId="12" xfId="0" applyFont="1" applyFill="1" applyBorder="1" applyAlignment="1">
      <alignment horizontal="left" vertical="center"/>
    </xf>
    <xf numFmtId="0" fontId="8" fillId="10" borderId="8" xfId="0" applyFont="1" applyFill="1" applyBorder="1" applyAlignment="1">
      <alignment vertical="center" wrapText="1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Protection="1">
      <protection locked="0"/>
    </xf>
    <xf numFmtId="0" fontId="8" fillId="10" borderId="8" xfId="0" applyFont="1" applyFill="1" applyBorder="1" applyAlignment="1">
      <alignment vertical="center" wrapText="1"/>
    </xf>
    <xf numFmtId="0" fontId="10" fillId="11" borderId="8" xfId="0" applyFont="1" applyFill="1" applyBorder="1" applyAlignment="1">
      <alignment vertical="center" wrapText="1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8" fillId="9" borderId="13" xfId="0" applyFont="1" applyFill="1" applyBorder="1" applyAlignment="1">
      <alignment vertical="center" wrapText="1"/>
    </xf>
    <xf numFmtId="0" fontId="8" fillId="10" borderId="12" xfId="0" applyFont="1" applyFill="1" applyBorder="1" applyAlignment="1">
      <alignment horizontal="left" vertical="center" wrapText="1"/>
    </xf>
    <xf numFmtId="0" fontId="10" fillId="11" borderId="8" xfId="0" applyFont="1" applyFill="1" applyBorder="1" applyAlignment="1">
      <alignment horizontal="left" vertical="center" wrapText="1" indent="1"/>
    </xf>
    <xf numFmtId="0" fontId="8" fillId="10" borderId="14" xfId="0" applyFont="1" applyFill="1" applyBorder="1" applyAlignment="1">
      <alignment horizontal="left" vertical="center" wrapText="1"/>
    </xf>
    <xf numFmtId="0" fontId="8" fillId="10" borderId="15" xfId="0" applyFont="1" applyFill="1" applyBorder="1" applyAlignment="1">
      <alignment horizontal="left" vertical="center" wrapText="1"/>
    </xf>
    <xf numFmtId="0" fontId="8" fillId="10" borderId="13" xfId="0" applyFont="1" applyFill="1" applyBorder="1" applyAlignment="1">
      <alignment vertical="center" wrapText="1"/>
    </xf>
    <xf numFmtId="0" fontId="8" fillId="10" borderId="16" xfId="0" applyFont="1" applyFill="1" applyBorder="1" applyAlignment="1">
      <alignment vertical="center" wrapText="1"/>
    </xf>
    <xf numFmtId="0" fontId="8" fillId="10" borderId="17" xfId="0" applyFont="1" applyFill="1" applyBorder="1" applyAlignment="1">
      <alignment vertical="center" wrapText="1"/>
    </xf>
    <xf numFmtId="0" fontId="11" fillId="0" borderId="0" xfId="0" applyFont="1"/>
    <xf numFmtId="0" fontId="1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F142"/>
  <sheetViews>
    <sheetView tabSelected="1" topLeftCell="A34" workbookViewId="0">
      <selection activeCell="C48" sqref="C48"/>
    </sheetView>
  </sheetViews>
  <sheetFormatPr defaultColWidth="8.8984375" defaultRowHeight="21"/>
  <cols>
    <col min="1" max="1" width="17.59765625" style="42" customWidth="1"/>
    <col min="2" max="2" width="76.09765625" style="42" customWidth="1"/>
    <col min="3" max="3" width="17.59765625" style="43" customWidth="1"/>
    <col min="4" max="5" width="70.59765625" style="43" customWidth="1"/>
  </cols>
  <sheetData>
    <row r="1" spans="1:32" ht="30" customHeight="1">
      <c r="A1" s="1" t="s">
        <v>0</v>
      </c>
      <c r="B1" s="2"/>
      <c r="C1" s="2"/>
      <c r="D1" s="2"/>
      <c r="E1" s="3"/>
    </row>
    <row r="2" spans="1:32" ht="37.5" customHeight="1">
      <c r="A2" s="4" t="s">
        <v>1</v>
      </c>
      <c r="B2" s="5"/>
      <c r="C2" s="5"/>
      <c r="D2" s="5"/>
      <c r="E2" s="6"/>
    </row>
    <row r="3" spans="1:32" ht="27.75" customHeight="1">
      <c r="A3" s="7" t="s">
        <v>2</v>
      </c>
      <c r="B3" s="8"/>
      <c r="C3" s="8"/>
      <c r="D3" s="8"/>
      <c r="E3" s="9"/>
    </row>
    <row r="4" spans="1:32" ht="44.25" customHeight="1" thickBot="1">
      <c r="A4" s="10"/>
      <c r="B4" s="11"/>
      <c r="C4" s="12" t="str">
        <f>"Total Score: "&amp;ROUND((AA4/AB4)*100,2)&amp;"%"</f>
        <v>Total Score: 0%</v>
      </c>
      <c r="D4" s="13"/>
      <c r="E4" s="14"/>
      <c r="AA4">
        <f>SUM(AA7:AA48)+SUM(AB7:AB48)*0.5</f>
        <v>0</v>
      </c>
      <c r="AB4">
        <f>COUNT(AA7:AA48)-SUM(AB7:AD48)</f>
        <v>35</v>
      </c>
    </row>
    <row r="5" spans="1:32" ht="42" customHeight="1" thickTop="1" thickBot="1">
      <c r="A5" s="15" t="s">
        <v>3</v>
      </c>
      <c r="B5" s="16" t="s">
        <v>4</v>
      </c>
      <c r="C5" s="17" t="s">
        <v>5</v>
      </c>
      <c r="D5" s="18" t="s">
        <v>6</v>
      </c>
      <c r="E5" s="18" t="s">
        <v>7</v>
      </c>
    </row>
    <row r="6" spans="1:32" ht="32.25" customHeight="1" thickTop="1" thickBot="1">
      <c r="A6" s="19" t="s">
        <v>8</v>
      </c>
      <c r="B6" s="20"/>
      <c r="C6" s="20"/>
      <c r="D6" s="20"/>
      <c r="E6" s="21"/>
    </row>
    <row r="7" spans="1:32" ht="60.75" customHeight="1" thickTop="1" thickBot="1">
      <c r="A7" s="22" t="s">
        <v>9</v>
      </c>
      <c r="B7" s="22" t="s">
        <v>10</v>
      </c>
      <c r="C7" s="23" t="s">
        <v>11</v>
      </c>
      <c r="D7" s="24"/>
      <c r="E7" s="25" t="str">
        <f>"Quotation: "&amp;ROUND((AE7/AF7)*100,2)&amp;"%"</f>
        <v>Quotation: 0%</v>
      </c>
      <c r="AE7">
        <f>SUM(AA8:AA11)+SUM(AB8:AB11)*0.5</f>
        <v>0</v>
      </c>
      <c r="AF7">
        <f>COUNT(AA8:AA11)-SUM(AD8:AD11)</f>
        <v>4</v>
      </c>
    </row>
    <row r="8" spans="1:32" ht="64.2" thickTop="1" thickBot="1">
      <c r="A8" s="26" t="s">
        <v>12</v>
      </c>
      <c r="B8" s="27" t="s">
        <v>13</v>
      </c>
      <c r="C8" s="28"/>
      <c r="D8" s="28"/>
      <c r="E8" s="28"/>
      <c r="AA8">
        <f>IF(C8="Met",1,0)</f>
        <v>0</v>
      </c>
      <c r="AB8">
        <f>IF(C8="Partially Met",1,0)</f>
        <v>0</v>
      </c>
      <c r="AC8">
        <f>IF(C8="UnMet",1,0)</f>
        <v>0</v>
      </c>
      <c r="AD8">
        <f>IF(C8="Not Applicable",1,0)</f>
        <v>0</v>
      </c>
    </row>
    <row r="9" spans="1:32" ht="43.2" thickTop="1" thickBot="1">
      <c r="A9" s="26" t="s">
        <v>14</v>
      </c>
      <c r="B9" s="27" t="s">
        <v>15</v>
      </c>
      <c r="C9" s="28"/>
      <c r="D9" s="28"/>
      <c r="E9" s="28"/>
      <c r="AA9">
        <f>IF(C9="Met",1,0)</f>
        <v>0</v>
      </c>
      <c r="AB9">
        <f>IF(C9="Partially Met",1,0)</f>
        <v>0</v>
      </c>
      <c r="AC9">
        <f>IF(C9="UnMet",1,0)</f>
        <v>0</v>
      </c>
      <c r="AD9">
        <f>IF(C9="Not Applicable",1,0)</f>
        <v>0</v>
      </c>
    </row>
    <row r="10" spans="1:32" ht="85.2" thickTop="1" thickBot="1">
      <c r="A10" s="26" t="s">
        <v>16</v>
      </c>
      <c r="B10" s="27" t="s">
        <v>17</v>
      </c>
      <c r="C10" s="28"/>
      <c r="D10" s="28"/>
      <c r="E10" s="28"/>
      <c r="AA10">
        <f>IF(C10="Met",1,0)</f>
        <v>0</v>
      </c>
      <c r="AB10">
        <f>IF(C10="Partially Met",1,0)</f>
        <v>0</v>
      </c>
      <c r="AC10">
        <f>IF(C10="UnMet",1,0)</f>
        <v>0</v>
      </c>
      <c r="AD10">
        <f>IF(C10="Not Applicable",1,0)</f>
        <v>0</v>
      </c>
    </row>
    <row r="11" spans="1:32" ht="64.2" thickTop="1" thickBot="1">
      <c r="A11" s="26" t="s">
        <v>18</v>
      </c>
      <c r="B11" s="27" t="s">
        <v>19</v>
      </c>
      <c r="C11" s="28"/>
      <c r="D11" s="28"/>
      <c r="E11" s="28"/>
      <c r="AA11">
        <f>IF(C11="Met",1,0)</f>
        <v>0</v>
      </c>
      <c r="AB11">
        <f>IF(C11="Partially Met",1,0)</f>
        <v>0</v>
      </c>
      <c r="AC11">
        <f>IF(C11="UnMet",1,0)</f>
        <v>0</v>
      </c>
      <c r="AD11">
        <f>IF(C11="Not Applicable",1,0)</f>
        <v>0</v>
      </c>
    </row>
    <row r="12" spans="1:32" ht="63" customHeight="1" thickTop="1" thickBot="1">
      <c r="A12" s="22" t="s">
        <v>20</v>
      </c>
      <c r="B12" s="22" t="s">
        <v>21</v>
      </c>
      <c r="C12" s="23" t="s">
        <v>22</v>
      </c>
      <c r="D12" s="24"/>
      <c r="E12" s="25" t="str">
        <f>"Quotation: "&amp;ROUND((AE12/AF12)*100,2)&amp;"%"</f>
        <v>Quotation: 0%</v>
      </c>
      <c r="AE12">
        <f>SUM(AA13:AA30)+SUM(AB13:AB30)*0.5</f>
        <v>0</v>
      </c>
      <c r="AF12">
        <f>COUNT(AA13:AA30)-SUM(AD13:AD30)</f>
        <v>17</v>
      </c>
    </row>
    <row r="13" spans="1:32" ht="43.2" thickTop="1" thickBot="1">
      <c r="A13" s="29" t="s">
        <v>23</v>
      </c>
      <c r="B13" s="30" t="s">
        <v>24</v>
      </c>
      <c r="C13" s="31"/>
      <c r="D13" s="32"/>
      <c r="E13" s="33"/>
    </row>
    <row r="14" spans="1:32" ht="39" customHeight="1" thickTop="1" thickBot="1">
      <c r="A14" s="29"/>
      <c r="B14" s="27" t="s">
        <v>25</v>
      </c>
      <c r="C14" s="28"/>
      <c r="D14" s="28"/>
      <c r="E14" s="28"/>
      <c r="AA14">
        <f t="shared" ref="AA14:AA30" si="0">IF(C14="Met",1,0)</f>
        <v>0</v>
      </c>
      <c r="AB14">
        <f t="shared" ref="AB14:AB30" si="1">IF(C14="Partially Met",1,0)</f>
        <v>0</v>
      </c>
      <c r="AC14">
        <f t="shared" ref="AC14:AC30" si="2">IF(C14="UnMet",1,0)</f>
        <v>0</v>
      </c>
      <c r="AD14">
        <f t="shared" ref="AD14:AD30" si="3">IF(C14="Not Applicable",1,0)</f>
        <v>0</v>
      </c>
    </row>
    <row r="15" spans="1:32" ht="22.2" thickTop="1" thickBot="1">
      <c r="A15" s="29"/>
      <c r="B15" s="27" t="s">
        <v>26</v>
      </c>
      <c r="C15" s="28"/>
      <c r="D15" s="28"/>
      <c r="E15" s="28"/>
      <c r="AA15">
        <f t="shared" si="0"/>
        <v>0</v>
      </c>
      <c r="AB15">
        <f t="shared" si="1"/>
        <v>0</v>
      </c>
      <c r="AC15">
        <f t="shared" si="2"/>
        <v>0</v>
      </c>
      <c r="AD15">
        <f t="shared" si="3"/>
        <v>0</v>
      </c>
    </row>
    <row r="16" spans="1:32" ht="22.2" thickTop="1" thickBot="1">
      <c r="A16" s="29"/>
      <c r="B16" s="27" t="s">
        <v>27</v>
      </c>
      <c r="C16" s="28"/>
      <c r="D16" s="28"/>
      <c r="E16" s="28"/>
      <c r="AA16">
        <f t="shared" si="0"/>
        <v>0</v>
      </c>
      <c r="AB16">
        <f t="shared" si="1"/>
        <v>0</v>
      </c>
      <c r="AC16">
        <f t="shared" si="2"/>
        <v>0</v>
      </c>
      <c r="AD16">
        <f t="shared" si="3"/>
        <v>0</v>
      </c>
    </row>
    <row r="17" spans="1:32" ht="22.2" thickTop="1" thickBot="1">
      <c r="A17" s="29"/>
      <c r="B17" s="27" t="s">
        <v>28</v>
      </c>
      <c r="C17" s="28"/>
      <c r="D17" s="28"/>
      <c r="E17" s="28"/>
      <c r="AA17">
        <f t="shared" si="0"/>
        <v>0</v>
      </c>
      <c r="AB17">
        <f t="shared" si="1"/>
        <v>0</v>
      </c>
      <c r="AC17">
        <f t="shared" si="2"/>
        <v>0</v>
      </c>
      <c r="AD17">
        <f t="shared" si="3"/>
        <v>0</v>
      </c>
    </row>
    <row r="18" spans="1:32" ht="22.2" thickTop="1" thickBot="1">
      <c r="A18" s="29"/>
      <c r="B18" s="27" t="s">
        <v>29</v>
      </c>
      <c r="C18" s="28"/>
      <c r="D18" s="28"/>
      <c r="E18" s="28"/>
      <c r="AA18">
        <f t="shared" si="0"/>
        <v>0</v>
      </c>
      <c r="AB18">
        <f t="shared" si="1"/>
        <v>0</v>
      </c>
      <c r="AC18">
        <f t="shared" si="2"/>
        <v>0</v>
      </c>
      <c r="AD18">
        <f t="shared" si="3"/>
        <v>0</v>
      </c>
    </row>
    <row r="19" spans="1:32" ht="22.2" thickTop="1" thickBot="1">
      <c r="A19" s="29"/>
      <c r="B19" s="27" t="s">
        <v>30</v>
      </c>
      <c r="C19" s="28"/>
      <c r="D19" s="28"/>
      <c r="E19" s="28"/>
      <c r="AA19">
        <f t="shared" si="0"/>
        <v>0</v>
      </c>
      <c r="AB19">
        <f t="shared" si="1"/>
        <v>0</v>
      </c>
      <c r="AC19">
        <f t="shared" si="2"/>
        <v>0</v>
      </c>
      <c r="AD19">
        <f t="shared" si="3"/>
        <v>0</v>
      </c>
    </row>
    <row r="20" spans="1:32" ht="43.2" thickTop="1" thickBot="1">
      <c r="A20" s="29"/>
      <c r="B20" s="27" t="s">
        <v>31</v>
      </c>
      <c r="C20" s="28"/>
      <c r="D20" s="28"/>
      <c r="E20" s="28"/>
      <c r="AA20">
        <f t="shared" si="0"/>
        <v>0</v>
      </c>
      <c r="AB20">
        <f t="shared" si="1"/>
        <v>0</v>
      </c>
      <c r="AC20">
        <f t="shared" si="2"/>
        <v>0</v>
      </c>
      <c r="AD20">
        <f t="shared" si="3"/>
        <v>0</v>
      </c>
    </row>
    <row r="21" spans="1:32" ht="43.2" thickTop="1" thickBot="1">
      <c r="A21" s="29"/>
      <c r="B21" s="27" t="s">
        <v>32</v>
      </c>
      <c r="C21" s="28"/>
      <c r="D21" s="28"/>
      <c r="E21" s="28"/>
      <c r="AA21">
        <f t="shared" si="0"/>
        <v>0</v>
      </c>
      <c r="AB21">
        <f t="shared" si="1"/>
        <v>0</v>
      </c>
      <c r="AC21">
        <f t="shared" si="2"/>
        <v>0</v>
      </c>
      <c r="AD21">
        <f t="shared" si="3"/>
        <v>0</v>
      </c>
    </row>
    <row r="22" spans="1:32" ht="22.2" thickTop="1" thickBot="1">
      <c r="A22" s="29"/>
      <c r="B22" s="27" t="s">
        <v>33</v>
      </c>
      <c r="C22" s="28"/>
      <c r="D22" s="28"/>
      <c r="E22" s="28"/>
      <c r="AA22">
        <f t="shared" si="0"/>
        <v>0</v>
      </c>
      <c r="AB22">
        <f t="shared" si="1"/>
        <v>0</v>
      </c>
      <c r="AC22">
        <f t="shared" si="2"/>
        <v>0</v>
      </c>
      <c r="AD22">
        <f t="shared" si="3"/>
        <v>0</v>
      </c>
    </row>
    <row r="23" spans="1:32" ht="22.2" thickTop="1" thickBot="1">
      <c r="A23" s="29"/>
      <c r="B23" s="27" t="s">
        <v>34</v>
      </c>
      <c r="C23" s="28"/>
      <c r="D23" s="28"/>
      <c r="E23" s="28"/>
      <c r="AA23">
        <f t="shared" si="0"/>
        <v>0</v>
      </c>
      <c r="AB23">
        <f t="shared" si="1"/>
        <v>0</v>
      </c>
      <c r="AC23">
        <f t="shared" si="2"/>
        <v>0</v>
      </c>
      <c r="AD23">
        <f t="shared" si="3"/>
        <v>0</v>
      </c>
    </row>
    <row r="24" spans="1:32" ht="22.2" thickTop="1" thickBot="1">
      <c r="A24" s="29"/>
      <c r="B24" s="27" t="s">
        <v>35</v>
      </c>
      <c r="C24" s="28"/>
      <c r="D24" s="28"/>
      <c r="E24" s="28"/>
      <c r="AA24">
        <f t="shared" si="0"/>
        <v>0</v>
      </c>
      <c r="AB24">
        <f t="shared" si="1"/>
        <v>0</v>
      </c>
      <c r="AC24">
        <f t="shared" si="2"/>
        <v>0</v>
      </c>
      <c r="AD24">
        <f t="shared" si="3"/>
        <v>0</v>
      </c>
    </row>
    <row r="25" spans="1:32" ht="22.2" thickTop="1" thickBot="1">
      <c r="A25" s="29"/>
      <c r="B25" s="27" t="s">
        <v>36</v>
      </c>
      <c r="C25" s="28"/>
      <c r="D25" s="28"/>
      <c r="E25" s="28"/>
      <c r="AA25">
        <f t="shared" si="0"/>
        <v>0</v>
      </c>
      <c r="AB25">
        <f t="shared" si="1"/>
        <v>0</v>
      </c>
      <c r="AC25">
        <f t="shared" si="2"/>
        <v>0</v>
      </c>
      <c r="AD25">
        <f t="shared" si="3"/>
        <v>0</v>
      </c>
    </row>
    <row r="26" spans="1:32" ht="22.2" thickTop="1" thickBot="1">
      <c r="A26" s="29"/>
      <c r="B26" s="27" t="s">
        <v>37</v>
      </c>
      <c r="C26" s="28"/>
      <c r="D26" s="28"/>
      <c r="E26" s="28"/>
      <c r="AA26">
        <f t="shared" si="0"/>
        <v>0</v>
      </c>
      <c r="AB26">
        <f t="shared" si="1"/>
        <v>0</v>
      </c>
      <c r="AC26">
        <f t="shared" si="2"/>
        <v>0</v>
      </c>
      <c r="AD26">
        <f t="shared" si="3"/>
        <v>0</v>
      </c>
    </row>
    <row r="27" spans="1:32" ht="43.2" thickTop="1" thickBot="1">
      <c r="A27" s="26" t="s">
        <v>38</v>
      </c>
      <c r="B27" s="27" t="s">
        <v>39</v>
      </c>
      <c r="C27" s="28"/>
      <c r="D27" s="28"/>
      <c r="E27" s="28"/>
      <c r="AA27">
        <f t="shared" si="0"/>
        <v>0</v>
      </c>
      <c r="AB27">
        <f t="shared" si="1"/>
        <v>0</v>
      </c>
      <c r="AC27">
        <f t="shared" si="2"/>
        <v>0</v>
      </c>
      <c r="AD27">
        <f t="shared" si="3"/>
        <v>0</v>
      </c>
    </row>
    <row r="28" spans="1:32" ht="22.2" thickTop="1" thickBot="1">
      <c r="A28" s="26" t="s">
        <v>40</v>
      </c>
      <c r="B28" s="27" t="s">
        <v>41</v>
      </c>
      <c r="C28" s="28"/>
      <c r="D28" s="28"/>
      <c r="E28" s="28"/>
      <c r="AA28">
        <f t="shared" si="0"/>
        <v>0</v>
      </c>
      <c r="AB28">
        <f t="shared" si="1"/>
        <v>0</v>
      </c>
      <c r="AC28">
        <f t="shared" si="2"/>
        <v>0</v>
      </c>
      <c r="AD28">
        <f t="shared" si="3"/>
        <v>0</v>
      </c>
    </row>
    <row r="29" spans="1:32" ht="43.2" thickTop="1" thickBot="1">
      <c r="A29" s="26" t="s">
        <v>42</v>
      </c>
      <c r="B29" s="27" t="s">
        <v>43</v>
      </c>
      <c r="C29" s="28"/>
      <c r="D29" s="28"/>
      <c r="E29" s="28"/>
      <c r="AA29">
        <f t="shared" si="0"/>
        <v>0</v>
      </c>
      <c r="AB29">
        <f t="shared" si="1"/>
        <v>0</v>
      </c>
      <c r="AC29">
        <f t="shared" si="2"/>
        <v>0</v>
      </c>
      <c r="AD29">
        <f t="shared" si="3"/>
        <v>0</v>
      </c>
    </row>
    <row r="30" spans="1:32" ht="43.2" thickTop="1" thickBot="1">
      <c r="A30" s="26" t="s">
        <v>44</v>
      </c>
      <c r="B30" s="27" t="s">
        <v>45</v>
      </c>
      <c r="C30" s="28"/>
      <c r="D30" s="28"/>
      <c r="E30" s="28"/>
      <c r="AA30">
        <f t="shared" si="0"/>
        <v>0</v>
      </c>
      <c r="AB30">
        <f t="shared" si="1"/>
        <v>0</v>
      </c>
      <c r="AC30">
        <f t="shared" si="2"/>
        <v>0</v>
      </c>
      <c r="AD30">
        <f t="shared" si="3"/>
        <v>0</v>
      </c>
    </row>
    <row r="31" spans="1:32" ht="67.5" customHeight="1" thickTop="1" thickBot="1">
      <c r="A31" s="34" t="s">
        <v>46</v>
      </c>
      <c r="B31" s="34" t="s">
        <v>47</v>
      </c>
      <c r="C31" s="23" t="s">
        <v>48</v>
      </c>
      <c r="D31" s="24"/>
      <c r="E31" s="25" t="str">
        <f>"Quotation: "&amp;ROUND((AE31/AF31)*100,2)&amp;"%"</f>
        <v>Quotation: 0%</v>
      </c>
      <c r="AE31">
        <f>SUM(AA32:AA38)+SUM(AB32:AB38)*0.5</f>
        <v>0</v>
      </c>
      <c r="AF31">
        <f>COUNT(AA32:AA38)-SUM(AD32:AD38)</f>
        <v>6</v>
      </c>
    </row>
    <row r="32" spans="1:32" ht="57.75" customHeight="1" thickTop="1" thickBot="1">
      <c r="A32" s="35" t="s">
        <v>49</v>
      </c>
      <c r="B32" s="36" t="s">
        <v>50</v>
      </c>
      <c r="C32" s="31"/>
      <c r="D32" s="32"/>
      <c r="E32" s="33"/>
    </row>
    <row r="33" spans="1:32" ht="22.2" thickTop="1" thickBot="1">
      <c r="A33" s="37"/>
      <c r="B33" s="27" t="s">
        <v>51</v>
      </c>
      <c r="C33" s="28"/>
      <c r="D33" s="28"/>
      <c r="E33" s="28"/>
      <c r="AA33">
        <f t="shared" ref="AA33:AA38" si="4">IF(C33="Met",1,0)</f>
        <v>0</v>
      </c>
      <c r="AB33">
        <f t="shared" ref="AB33:AB38" si="5">IF(C33="Partially Met",1,0)</f>
        <v>0</v>
      </c>
      <c r="AC33">
        <f t="shared" ref="AC33:AC38" si="6">IF(C33="UnMet",1,0)</f>
        <v>0</v>
      </c>
      <c r="AD33">
        <f t="shared" ref="AD33:AD38" si="7">IF(C33="Not Applicable",1,0)</f>
        <v>0</v>
      </c>
    </row>
    <row r="34" spans="1:32" ht="22.2" thickTop="1" thickBot="1">
      <c r="A34" s="37"/>
      <c r="B34" s="27" t="s">
        <v>52</v>
      </c>
      <c r="C34" s="28"/>
      <c r="D34" s="28"/>
      <c r="E34" s="28"/>
      <c r="AA34">
        <f t="shared" si="4"/>
        <v>0</v>
      </c>
      <c r="AB34">
        <f t="shared" si="5"/>
        <v>0</v>
      </c>
      <c r="AC34">
        <f t="shared" si="6"/>
        <v>0</v>
      </c>
      <c r="AD34">
        <f t="shared" si="7"/>
        <v>0</v>
      </c>
    </row>
    <row r="35" spans="1:32" ht="22.2" thickTop="1" thickBot="1">
      <c r="A35" s="38"/>
      <c r="B35" s="27" t="s">
        <v>53</v>
      </c>
      <c r="C35" s="28"/>
      <c r="D35" s="28"/>
      <c r="E35" s="28"/>
      <c r="AA35">
        <f t="shared" si="4"/>
        <v>0</v>
      </c>
      <c r="AB35">
        <f t="shared" si="5"/>
        <v>0</v>
      </c>
      <c r="AC35">
        <f t="shared" si="6"/>
        <v>0</v>
      </c>
      <c r="AD35">
        <f t="shared" si="7"/>
        <v>0</v>
      </c>
    </row>
    <row r="36" spans="1:32" ht="43.2" thickTop="1" thickBot="1">
      <c r="A36" s="26" t="s">
        <v>54</v>
      </c>
      <c r="B36" s="27" t="s">
        <v>55</v>
      </c>
      <c r="C36" s="28"/>
      <c r="D36" s="28"/>
      <c r="E36" s="28"/>
      <c r="AA36">
        <f t="shared" si="4"/>
        <v>0</v>
      </c>
      <c r="AB36">
        <f t="shared" si="5"/>
        <v>0</v>
      </c>
      <c r="AC36">
        <f t="shared" si="6"/>
        <v>0</v>
      </c>
      <c r="AD36">
        <f t="shared" si="7"/>
        <v>0</v>
      </c>
    </row>
    <row r="37" spans="1:32" ht="22.2" thickTop="1" thickBot="1">
      <c r="A37" s="26" t="s">
        <v>56</v>
      </c>
      <c r="B37" s="27" t="s">
        <v>57</v>
      </c>
      <c r="C37" s="28"/>
      <c r="D37" s="28"/>
      <c r="E37" s="28"/>
      <c r="AA37">
        <f t="shared" si="4"/>
        <v>0</v>
      </c>
      <c r="AB37">
        <f t="shared" si="5"/>
        <v>0</v>
      </c>
      <c r="AC37">
        <f t="shared" si="6"/>
        <v>0</v>
      </c>
      <c r="AD37">
        <f t="shared" si="7"/>
        <v>0</v>
      </c>
    </row>
    <row r="38" spans="1:32" ht="43.2" thickTop="1" thickBot="1">
      <c r="A38" s="26" t="s">
        <v>58</v>
      </c>
      <c r="B38" s="27" t="s">
        <v>59</v>
      </c>
      <c r="C38" s="28"/>
      <c r="D38" s="28"/>
      <c r="E38" s="28"/>
      <c r="AA38">
        <f t="shared" si="4"/>
        <v>0</v>
      </c>
      <c r="AB38">
        <f t="shared" si="5"/>
        <v>0</v>
      </c>
      <c r="AC38">
        <f t="shared" si="6"/>
        <v>0</v>
      </c>
      <c r="AD38">
        <f t="shared" si="7"/>
        <v>0</v>
      </c>
    </row>
    <row r="39" spans="1:32" ht="55.5" customHeight="1" thickTop="1" thickBot="1">
      <c r="A39" s="34" t="s">
        <v>60</v>
      </c>
      <c r="B39" s="34" t="s">
        <v>61</v>
      </c>
      <c r="C39" s="23" t="s">
        <v>62</v>
      </c>
      <c r="D39" s="24"/>
      <c r="E39" s="25" t="str">
        <f>"Quotation: "&amp;ROUND((AE39/AF39)*100,2)&amp;"%"</f>
        <v>Quotation: 0%</v>
      </c>
      <c r="AE39">
        <f>SUM(AA40:AA48)+SUM(AB40:AB48)*0.5</f>
        <v>0</v>
      </c>
      <c r="AF39">
        <f>COUNT(AA40:AA48)-SUM(AD40:AD48)</f>
        <v>8</v>
      </c>
    </row>
    <row r="40" spans="1:32" ht="106.2" thickTop="1" thickBot="1">
      <c r="A40" s="26" t="s">
        <v>63</v>
      </c>
      <c r="B40" s="27" t="s">
        <v>64</v>
      </c>
      <c r="C40" s="28"/>
      <c r="D40" s="28"/>
      <c r="E40" s="28"/>
      <c r="AA40">
        <f>IF(C40="Met",1,0)</f>
        <v>0</v>
      </c>
      <c r="AB40">
        <f>IF(C40="Partially Met",1,0)</f>
        <v>0</v>
      </c>
      <c r="AC40">
        <f>IF(C40="UnMet",1,0)</f>
        <v>0</v>
      </c>
      <c r="AD40">
        <f>IF(C40="Not Applicable",1,0)</f>
        <v>0</v>
      </c>
    </row>
    <row r="41" spans="1:32" ht="40.5" customHeight="1" thickTop="1" thickBot="1">
      <c r="A41" s="26" t="s">
        <v>65</v>
      </c>
      <c r="B41" s="27" t="s">
        <v>66</v>
      </c>
      <c r="C41" s="28"/>
      <c r="D41" s="28"/>
      <c r="E41" s="28"/>
      <c r="AA41">
        <f>IF(C41="Met",1,0)</f>
        <v>0</v>
      </c>
      <c r="AB41">
        <f>IF(C41="Partially Met",1,0)</f>
        <v>0</v>
      </c>
      <c r="AC41">
        <f>IF(C41="UnMet",1,0)</f>
        <v>0</v>
      </c>
      <c r="AD41">
        <f>IF(C41="Not Applicable",1,0)</f>
        <v>0</v>
      </c>
    </row>
    <row r="42" spans="1:32" ht="43.2" thickTop="1" thickBot="1">
      <c r="A42" s="26" t="s">
        <v>67</v>
      </c>
      <c r="B42" s="27" t="s">
        <v>68</v>
      </c>
      <c r="C42" s="28"/>
      <c r="D42" s="28"/>
      <c r="E42" s="28"/>
      <c r="AA42">
        <f>IF(C42="Met",1,0)</f>
        <v>0</v>
      </c>
      <c r="AB42">
        <f>IF(C42="Partially Met",1,0)</f>
        <v>0</v>
      </c>
      <c r="AC42">
        <f>IF(C42="UnMet",1,0)</f>
        <v>0</v>
      </c>
      <c r="AD42">
        <f>IF(C42="Not Applicable",1,0)</f>
        <v>0</v>
      </c>
    </row>
    <row r="43" spans="1:32" ht="46.5" customHeight="1" thickTop="1" thickBot="1">
      <c r="A43" s="26" t="s">
        <v>69</v>
      </c>
      <c r="B43" s="27" t="s">
        <v>70</v>
      </c>
      <c r="C43" s="28"/>
      <c r="D43" s="28"/>
      <c r="E43" s="28"/>
      <c r="AA43">
        <f>IF(C43="Met",1,0)</f>
        <v>0</v>
      </c>
      <c r="AB43">
        <f>IF(C43="Partially Met",1,0)</f>
        <v>0</v>
      </c>
      <c r="AC43">
        <f>IF(C43="UnMet",1,0)</f>
        <v>0</v>
      </c>
      <c r="AD43">
        <f>IF(C43="Not Applicable",1,0)</f>
        <v>0</v>
      </c>
    </row>
    <row r="44" spans="1:32" ht="43.2" thickTop="1" thickBot="1">
      <c r="A44" s="39" t="s">
        <v>71</v>
      </c>
      <c r="B44" s="36" t="s">
        <v>72</v>
      </c>
      <c r="C44" s="31"/>
      <c r="D44" s="32"/>
      <c r="E44" s="33"/>
    </row>
    <row r="45" spans="1:32" ht="22.2" thickTop="1" thickBot="1">
      <c r="A45" s="40"/>
      <c r="B45" s="27" t="s">
        <v>73</v>
      </c>
      <c r="C45" s="28"/>
      <c r="D45" s="28"/>
      <c r="E45" s="28"/>
      <c r="AA45">
        <f>IF(C45="Met",1,0)</f>
        <v>0</v>
      </c>
      <c r="AB45">
        <f>IF(C45="Partially Met",1,0)</f>
        <v>0</v>
      </c>
      <c r="AC45">
        <f>IF(C45="UnMet",1,0)</f>
        <v>0</v>
      </c>
      <c r="AD45">
        <f>IF(C45="Not Applicable",1,0)</f>
        <v>0</v>
      </c>
    </row>
    <row r="46" spans="1:32" ht="22.2" thickTop="1" thickBot="1">
      <c r="A46" s="40"/>
      <c r="B46" s="27" t="s">
        <v>74</v>
      </c>
      <c r="C46" s="28"/>
      <c r="D46" s="28"/>
      <c r="E46" s="28"/>
      <c r="AA46">
        <f>IF(C46="Met",1,0)</f>
        <v>0</v>
      </c>
      <c r="AB46">
        <f>IF(C46="Partially Met",1,0)</f>
        <v>0</v>
      </c>
      <c r="AC46">
        <f>IF(C46="UnMet",1,0)</f>
        <v>0</v>
      </c>
      <c r="AD46">
        <f>IF(C46="Not Applicable",1,0)</f>
        <v>0</v>
      </c>
    </row>
    <row r="47" spans="1:32" ht="22.2" thickTop="1" thickBot="1">
      <c r="A47" s="40"/>
      <c r="B47" s="27" t="s">
        <v>75</v>
      </c>
      <c r="C47" s="28"/>
      <c r="D47" s="28"/>
      <c r="E47" s="28"/>
      <c r="AA47">
        <f>IF(C47="Met",1,0)</f>
        <v>0</v>
      </c>
      <c r="AB47">
        <f>IF(C47="Partially Met",1,0)</f>
        <v>0</v>
      </c>
      <c r="AC47">
        <f>IF(C47="UnMet",1,0)</f>
        <v>0</v>
      </c>
      <c r="AD47">
        <f>IF(C47="Not Applicable",1,0)</f>
        <v>0</v>
      </c>
    </row>
    <row r="48" spans="1:32" ht="43.2" thickTop="1" thickBot="1">
      <c r="A48" s="41" t="s">
        <v>76</v>
      </c>
      <c r="B48" s="27" t="s">
        <v>77</v>
      </c>
      <c r="C48" s="28"/>
      <c r="D48" s="28"/>
      <c r="E48" s="28"/>
      <c r="AA48">
        <f>IF(C48="Met",1,0)</f>
        <v>0</v>
      </c>
      <c r="AB48">
        <f>IF(C48="Partially Met",1,0)</f>
        <v>0</v>
      </c>
      <c r="AC48">
        <f>IF(C48="UnMet",1,0)</f>
        <v>0</v>
      </c>
      <c r="AD48">
        <f>IF(C48="Not Applicable",1,0)</f>
        <v>0</v>
      </c>
    </row>
    <row r="49" spans="1:5" ht="51" customHeight="1">
      <c r="A49"/>
      <c r="B49"/>
      <c r="C49"/>
      <c r="D49"/>
      <c r="E49"/>
    </row>
    <row r="50" spans="1:5" ht="16.5" customHeight="1">
      <c r="A50"/>
      <c r="B50"/>
      <c r="C50"/>
      <c r="D50"/>
      <c r="E50"/>
    </row>
    <row r="51" spans="1:5" ht="42" customHeight="1">
      <c r="A51"/>
      <c r="B51"/>
      <c r="C51"/>
      <c r="D51"/>
      <c r="E51"/>
    </row>
    <row r="52" spans="1:5" ht="38.25" customHeight="1">
      <c r="A52"/>
      <c r="B52"/>
      <c r="C52"/>
      <c r="D52"/>
      <c r="E52"/>
    </row>
    <row r="53" spans="1:5" ht="37.5" customHeight="1">
      <c r="A53"/>
      <c r="B53"/>
      <c r="C53"/>
      <c r="D53"/>
      <c r="E53"/>
    </row>
    <row r="54" spans="1:5" ht="15.6">
      <c r="A54"/>
      <c r="B54"/>
      <c r="C54"/>
      <c r="D54"/>
      <c r="E54"/>
    </row>
    <row r="55" spans="1:5" ht="15.6">
      <c r="A55"/>
      <c r="B55"/>
      <c r="C55"/>
      <c r="D55"/>
      <c r="E55"/>
    </row>
    <row r="56" spans="1:5" ht="15.6">
      <c r="A56"/>
      <c r="B56"/>
      <c r="C56"/>
      <c r="D56"/>
      <c r="E56"/>
    </row>
    <row r="57" spans="1:5" ht="87.75" customHeight="1">
      <c r="A57"/>
      <c r="B57"/>
      <c r="C57"/>
      <c r="D57"/>
      <c r="E57"/>
    </row>
    <row r="58" spans="1:5" ht="15.6">
      <c r="A58"/>
      <c r="B58"/>
      <c r="C58"/>
      <c r="D58"/>
      <c r="E58"/>
    </row>
    <row r="59" spans="1:5" ht="15.6">
      <c r="A59"/>
      <c r="B59"/>
      <c r="C59"/>
      <c r="D59"/>
      <c r="E59"/>
    </row>
    <row r="60" spans="1:5" ht="15.6">
      <c r="A60"/>
      <c r="B60"/>
      <c r="C60"/>
      <c r="D60"/>
      <c r="E60"/>
    </row>
    <row r="61" spans="1:5" ht="15.6">
      <c r="A61"/>
      <c r="B61"/>
      <c r="C61"/>
      <c r="D61"/>
      <c r="E61"/>
    </row>
    <row r="62" spans="1:5" ht="15.6">
      <c r="A62"/>
      <c r="B62"/>
      <c r="C62"/>
      <c r="D62"/>
      <c r="E62"/>
    </row>
    <row r="63" spans="1:5" ht="15.6">
      <c r="A63"/>
      <c r="B63"/>
      <c r="C63"/>
      <c r="D63"/>
      <c r="E63"/>
    </row>
    <row r="64" spans="1:5" ht="15.6">
      <c r="A64"/>
      <c r="B64"/>
      <c r="C64"/>
      <c r="D64"/>
      <c r="E64"/>
    </row>
    <row r="65" spans="1:5" ht="15.6">
      <c r="A65"/>
      <c r="B65"/>
      <c r="C65"/>
      <c r="D65"/>
      <c r="E65"/>
    </row>
    <row r="66" spans="1:5" ht="15.6">
      <c r="A66"/>
      <c r="B66"/>
      <c r="C66"/>
      <c r="D66"/>
      <c r="E66"/>
    </row>
    <row r="67" spans="1:5" ht="15.6">
      <c r="A67"/>
      <c r="B67"/>
      <c r="C67"/>
      <c r="D67"/>
      <c r="E67"/>
    </row>
    <row r="68" spans="1:5" ht="15.6">
      <c r="A68"/>
      <c r="B68"/>
      <c r="C68"/>
      <c r="D68"/>
      <c r="E68"/>
    </row>
    <row r="69" spans="1:5" ht="15.6">
      <c r="A69"/>
      <c r="B69"/>
      <c r="C69"/>
      <c r="D69"/>
      <c r="E69"/>
    </row>
    <row r="70" spans="1:5" ht="15.6">
      <c r="A70"/>
      <c r="B70"/>
      <c r="C70"/>
      <c r="D70"/>
      <c r="E70"/>
    </row>
    <row r="71" spans="1:5" ht="15.6">
      <c r="A71"/>
      <c r="B71"/>
      <c r="C71"/>
      <c r="D71"/>
      <c r="E71"/>
    </row>
    <row r="72" spans="1:5" ht="15.6">
      <c r="A72"/>
      <c r="B72"/>
      <c r="C72"/>
      <c r="D72"/>
      <c r="E72"/>
    </row>
    <row r="73" spans="1:5" ht="85.5" customHeight="1">
      <c r="A73"/>
      <c r="B73"/>
      <c r="C73"/>
      <c r="D73"/>
      <c r="E73"/>
    </row>
    <row r="74" spans="1:5" ht="15.6">
      <c r="A74"/>
      <c r="B74"/>
      <c r="C74"/>
      <c r="D74"/>
      <c r="E74"/>
    </row>
    <row r="75" spans="1:5" ht="15.6">
      <c r="A75"/>
      <c r="B75"/>
      <c r="C75"/>
      <c r="D75"/>
      <c r="E75"/>
    </row>
    <row r="76" spans="1:5" ht="47.25" customHeight="1">
      <c r="A76"/>
      <c r="B76"/>
      <c r="C76"/>
      <c r="D76"/>
      <c r="E76"/>
    </row>
    <row r="77" spans="1:5" ht="15.6">
      <c r="A77"/>
      <c r="B77"/>
      <c r="C77"/>
      <c r="D77"/>
      <c r="E77"/>
    </row>
    <row r="78" spans="1:5" ht="15.6">
      <c r="A78"/>
      <c r="B78"/>
      <c r="C78"/>
      <c r="D78"/>
      <c r="E78"/>
    </row>
    <row r="79" spans="1:5" ht="15.6">
      <c r="A79"/>
      <c r="B79"/>
      <c r="C79"/>
      <c r="D79"/>
      <c r="E79"/>
    </row>
    <row r="80" spans="1:5" ht="15.6">
      <c r="A80"/>
      <c r="B80"/>
      <c r="C80"/>
      <c r="D80"/>
      <c r="E80"/>
    </row>
    <row r="81" spans="1:5" ht="15.6">
      <c r="A81"/>
      <c r="B81"/>
      <c r="C81"/>
      <c r="D81"/>
      <c r="E81"/>
    </row>
    <row r="82" spans="1:5" ht="71.25" customHeight="1">
      <c r="A82"/>
      <c r="B82"/>
      <c r="C82"/>
      <c r="D82"/>
      <c r="E82"/>
    </row>
    <row r="83" spans="1:5" ht="15.6">
      <c r="A83"/>
      <c r="B83"/>
      <c r="C83"/>
      <c r="D83"/>
      <c r="E83"/>
    </row>
    <row r="84" spans="1:5" ht="33.75" customHeight="1">
      <c r="A84"/>
      <c r="B84"/>
      <c r="C84"/>
      <c r="D84"/>
      <c r="E84"/>
    </row>
    <row r="85" spans="1:5" ht="51.75" customHeight="1">
      <c r="A85"/>
      <c r="B85"/>
      <c r="C85"/>
      <c r="D85"/>
      <c r="E85"/>
    </row>
    <row r="86" spans="1:5" ht="29.25" customHeight="1">
      <c r="A86"/>
      <c r="B86"/>
      <c r="C86"/>
      <c r="D86"/>
      <c r="E86"/>
    </row>
    <row r="87" spans="1:5" ht="15.6">
      <c r="A87"/>
      <c r="B87"/>
      <c r="C87"/>
      <c r="D87"/>
      <c r="E87"/>
    </row>
    <row r="88" spans="1:5" ht="27.75" customHeight="1">
      <c r="A88"/>
      <c r="B88"/>
      <c r="C88"/>
      <c r="D88"/>
      <c r="E88"/>
    </row>
    <row r="89" spans="1:5" ht="15.6">
      <c r="A89"/>
      <c r="B89"/>
      <c r="C89"/>
      <c r="D89"/>
      <c r="E89"/>
    </row>
    <row r="90" spans="1:5" ht="15.6">
      <c r="A90"/>
      <c r="B90"/>
      <c r="C90"/>
      <c r="D90"/>
      <c r="E90"/>
    </row>
    <row r="91" spans="1:5" ht="15.6">
      <c r="A91"/>
      <c r="B91"/>
      <c r="C91"/>
      <c r="D91"/>
      <c r="E91"/>
    </row>
    <row r="92" spans="1:5" ht="15.6">
      <c r="A92"/>
      <c r="B92"/>
      <c r="C92"/>
      <c r="D92"/>
      <c r="E92"/>
    </row>
    <row r="93" spans="1:5" ht="15.6">
      <c r="A93"/>
      <c r="B93"/>
      <c r="C93"/>
      <c r="D93"/>
      <c r="E93"/>
    </row>
    <row r="94" spans="1:5" ht="43.5" customHeight="1">
      <c r="A94"/>
      <c r="B94"/>
      <c r="C94"/>
      <c r="D94"/>
      <c r="E94"/>
    </row>
    <row r="95" spans="1:5" ht="15.6">
      <c r="A95"/>
      <c r="B95"/>
      <c r="C95"/>
      <c r="D95"/>
      <c r="E95"/>
    </row>
    <row r="96" spans="1:5" ht="60" customHeight="1">
      <c r="A96"/>
      <c r="B96"/>
      <c r="C96"/>
      <c r="D96"/>
      <c r="E96"/>
    </row>
    <row r="97" spans="1:5" ht="15.6">
      <c r="A97"/>
      <c r="B97"/>
      <c r="C97"/>
      <c r="D97"/>
      <c r="E97"/>
    </row>
    <row r="98" spans="1:5" ht="15.6">
      <c r="A98"/>
      <c r="B98"/>
      <c r="C98"/>
      <c r="D98"/>
      <c r="E98"/>
    </row>
    <row r="99" spans="1:5" ht="15.6">
      <c r="A99"/>
      <c r="B99"/>
      <c r="C99"/>
      <c r="D99"/>
      <c r="E99"/>
    </row>
    <row r="100" spans="1:5" ht="15.6">
      <c r="A100"/>
      <c r="B100"/>
      <c r="C100"/>
      <c r="D100"/>
      <c r="E100"/>
    </row>
    <row r="101" spans="1:5" ht="15.6">
      <c r="A101"/>
      <c r="B101"/>
      <c r="C101"/>
      <c r="D101"/>
      <c r="E101"/>
    </row>
    <row r="102" spans="1:5" ht="73.5" customHeight="1">
      <c r="A102"/>
      <c r="B102"/>
      <c r="C102"/>
      <c r="D102"/>
      <c r="E102"/>
    </row>
    <row r="103" spans="1:5" ht="34.5" customHeight="1">
      <c r="A103"/>
      <c r="B103"/>
      <c r="C103"/>
      <c r="D103"/>
      <c r="E103"/>
    </row>
    <row r="104" spans="1:5" ht="15.6">
      <c r="A104"/>
      <c r="B104"/>
      <c r="C104"/>
      <c r="D104"/>
      <c r="E104"/>
    </row>
    <row r="105" spans="1:5" ht="15.6">
      <c r="A105"/>
      <c r="B105"/>
      <c r="C105"/>
      <c r="D105"/>
      <c r="E105"/>
    </row>
    <row r="106" spans="1:5" ht="15.6">
      <c r="A106"/>
      <c r="B106"/>
      <c r="C106"/>
      <c r="D106"/>
      <c r="E106"/>
    </row>
    <row r="107" spans="1:5" ht="15.6">
      <c r="A107"/>
      <c r="B107"/>
      <c r="C107"/>
      <c r="D107"/>
      <c r="E107"/>
    </row>
    <row r="108" spans="1:5" ht="15.6">
      <c r="A108"/>
      <c r="B108"/>
      <c r="C108"/>
      <c r="D108"/>
      <c r="E108"/>
    </row>
    <row r="109" spans="1:5" ht="15.6">
      <c r="A109"/>
      <c r="B109"/>
      <c r="C109"/>
      <c r="D109"/>
      <c r="E109"/>
    </row>
    <row r="110" spans="1:5" ht="15.6">
      <c r="A110"/>
      <c r="B110"/>
      <c r="C110"/>
      <c r="D110"/>
      <c r="E110"/>
    </row>
    <row r="111" spans="1:5" ht="40.5" customHeight="1">
      <c r="A111"/>
      <c r="B111"/>
      <c r="C111"/>
      <c r="D111"/>
      <c r="E111"/>
    </row>
    <row r="112" spans="1:5" ht="45" customHeight="1">
      <c r="A112"/>
      <c r="B112"/>
      <c r="C112"/>
      <c r="D112"/>
      <c r="E112"/>
    </row>
    <row r="113" spans="1:5" ht="30.75" customHeight="1">
      <c r="A113"/>
      <c r="B113"/>
      <c r="C113"/>
      <c r="D113"/>
      <c r="E113"/>
    </row>
    <row r="114" spans="1:5" ht="43.5" customHeight="1">
      <c r="A114"/>
      <c r="B114"/>
      <c r="C114"/>
      <c r="D114"/>
      <c r="E114"/>
    </row>
    <row r="115" spans="1:5" ht="15.6">
      <c r="A115"/>
      <c r="B115"/>
      <c r="C115"/>
      <c r="D115"/>
      <c r="E115"/>
    </row>
    <row r="116" spans="1:5" ht="15.6">
      <c r="A116"/>
      <c r="B116"/>
      <c r="C116"/>
      <c r="D116"/>
      <c r="E116"/>
    </row>
    <row r="117" spans="1:5" ht="15.6">
      <c r="A117"/>
      <c r="B117"/>
      <c r="C117"/>
      <c r="D117"/>
      <c r="E117"/>
    </row>
    <row r="118" spans="1:5" ht="15.6">
      <c r="A118"/>
      <c r="B118"/>
      <c r="C118"/>
      <c r="D118"/>
      <c r="E118"/>
    </row>
    <row r="119" spans="1:5" ht="15.6">
      <c r="A119"/>
      <c r="B119"/>
      <c r="C119"/>
      <c r="D119"/>
      <c r="E119"/>
    </row>
    <row r="120" spans="1:5" ht="25.5" customHeight="1">
      <c r="A120"/>
      <c r="B120"/>
      <c r="C120"/>
      <c r="D120"/>
      <c r="E120"/>
    </row>
    <row r="121" spans="1:5" ht="47.25" customHeight="1">
      <c r="A121"/>
      <c r="B121"/>
      <c r="C121"/>
      <c r="D121"/>
      <c r="E121"/>
    </row>
    <row r="122" spans="1:5" ht="69" customHeight="1">
      <c r="A122"/>
      <c r="B122"/>
      <c r="C122"/>
      <c r="D122"/>
      <c r="E122"/>
    </row>
    <row r="123" spans="1:5" ht="61.5" customHeight="1">
      <c r="A123"/>
      <c r="B123"/>
      <c r="C123"/>
      <c r="D123"/>
      <c r="E123"/>
    </row>
    <row r="124" spans="1:5" ht="15.6">
      <c r="A124"/>
      <c r="B124"/>
      <c r="C124"/>
      <c r="D124"/>
      <c r="E124"/>
    </row>
    <row r="125" spans="1:5" ht="68.25" customHeight="1">
      <c r="A125"/>
      <c r="B125"/>
      <c r="C125"/>
      <c r="D125"/>
      <c r="E125"/>
    </row>
    <row r="126" spans="1:5" ht="15.6">
      <c r="A126"/>
      <c r="B126"/>
      <c r="C126"/>
      <c r="D126"/>
      <c r="E126"/>
    </row>
    <row r="127" spans="1:5" ht="29.25" customHeight="1">
      <c r="A127"/>
      <c r="B127"/>
      <c r="C127"/>
      <c r="D127"/>
      <c r="E127"/>
    </row>
    <row r="128" spans="1:5" ht="15.6">
      <c r="A128"/>
      <c r="B128"/>
      <c r="C128"/>
      <c r="D128"/>
      <c r="E128"/>
    </row>
    <row r="129" spans="1:5" ht="15.6">
      <c r="A129"/>
      <c r="B129"/>
      <c r="C129"/>
      <c r="D129"/>
      <c r="E129"/>
    </row>
    <row r="130" spans="1:5" ht="15.6">
      <c r="A130"/>
      <c r="B130"/>
      <c r="C130"/>
      <c r="D130"/>
      <c r="E130"/>
    </row>
    <row r="131" spans="1:5" ht="15.6">
      <c r="A131"/>
      <c r="B131"/>
      <c r="C131"/>
      <c r="D131"/>
      <c r="E131"/>
    </row>
    <row r="132" spans="1:5" ht="15.6">
      <c r="A132"/>
      <c r="B132"/>
      <c r="C132"/>
      <c r="D132"/>
      <c r="E132"/>
    </row>
    <row r="133" spans="1:5" ht="15.6">
      <c r="A133"/>
      <c r="B133"/>
      <c r="C133"/>
      <c r="D133"/>
      <c r="E133"/>
    </row>
    <row r="134" spans="1:5" ht="25.5" customHeight="1">
      <c r="A134"/>
      <c r="B134"/>
      <c r="C134"/>
      <c r="D134"/>
      <c r="E134"/>
    </row>
    <row r="135" spans="1:5" ht="15.6">
      <c r="A135"/>
      <c r="B135"/>
      <c r="C135"/>
      <c r="D135"/>
      <c r="E135"/>
    </row>
    <row r="136" spans="1:5" ht="47.25" customHeight="1">
      <c r="A136"/>
      <c r="B136"/>
      <c r="C136"/>
      <c r="D136"/>
      <c r="E136"/>
    </row>
    <row r="137" spans="1:5" ht="15.6">
      <c r="A137"/>
      <c r="B137"/>
      <c r="C137"/>
      <c r="D137"/>
      <c r="E137"/>
    </row>
    <row r="138" spans="1:5" ht="15.6">
      <c r="A138"/>
      <c r="B138"/>
      <c r="C138"/>
      <c r="D138"/>
      <c r="E138"/>
    </row>
    <row r="139" spans="1:5" ht="15.6">
      <c r="A139"/>
      <c r="B139"/>
      <c r="C139"/>
      <c r="D139"/>
      <c r="E139"/>
    </row>
    <row r="140" spans="1:5" ht="15.6">
      <c r="A140"/>
      <c r="B140"/>
      <c r="C140"/>
      <c r="D140"/>
      <c r="E140"/>
    </row>
    <row r="141" spans="1:5" ht="15.6">
      <c r="A141"/>
      <c r="B141"/>
      <c r="C141"/>
      <c r="D141"/>
      <c r="E141"/>
    </row>
    <row r="142" spans="1:5" ht="15.6">
      <c r="A142"/>
      <c r="B142"/>
      <c r="C142"/>
      <c r="D142"/>
      <c r="E142"/>
    </row>
  </sheetData>
  <sheetProtection algorithmName="SHA-512" hashValue="a6IoqA9H2+2HMvejAVUC8O4q2NWQ5+Cf7wEFuWlJwL33hmYoWFx1HHiUNeaR5nkW6akvq/gzd//8NjnNvoDSFQ==" saltValue="JqqjkGsH1gbTf5imFh3NgA==" spinCount="100000" sheet="1" objects="1" scenarios="1"/>
  <mergeCells count="14">
    <mergeCell ref="C39:D39"/>
    <mergeCell ref="C44:E44"/>
    <mergeCell ref="C12:D12"/>
    <mergeCell ref="A13:A26"/>
    <mergeCell ref="C13:E13"/>
    <mergeCell ref="C31:D31"/>
    <mergeCell ref="A32:A35"/>
    <mergeCell ref="C32:E32"/>
    <mergeCell ref="A1:E1"/>
    <mergeCell ref="A2:E2"/>
    <mergeCell ref="A3:E3"/>
    <mergeCell ref="C4:E4"/>
    <mergeCell ref="A6:E6"/>
    <mergeCell ref="C7:D7"/>
  </mergeCells>
  <dataValidations count="1">
    <dataValidation type="list" showInputMessage="1" showErrorMessage="1" sqref="C8:C11 C14:C30 C33:C38 C40:C43 C45:C48">
      <formula1>"Met,Partially Met,UnMet,Not Applicable"</formula1>
    </dataValidation>
  </dataValidations>
  <pageMargins left="0.70866141732283505" right="0.70866141732283505" top="0.74803149606299202" bottom="0.74803149606299202" header="0.31496062992126" footer="0.31496062992126"/>
  <pageSetup paperSize="9" scale="46" orientation="landscape"/>
  <rowBreaks count="1" manualBreakCount="1">
    <brk id="3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SMCS.12</vt:lpstr>
      <vt:lpstr>SMCS.12!Print_Area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Musa</dc:creator>
  <cp:lastModifiedBy>Ashraf Musa</cp:lastModifiedBy>
  <dcterms:created xsi:type="dcterms:W3CDTF">2025-08-22T13:38:00Z</dcterms:created>
  <dcterms:modified xsi:type="dcterms:W3CDTF">2025-08-22T13:38:01Z</dcterms:modified>
</cp:coreProperties>
</file>