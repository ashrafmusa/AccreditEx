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SAMEH\Downloads\"/>
    </mc:Choice>
  </mc:AlternateContent>
  <bookViews>
    <workbookView xWindow="0" yWindow="0" windowWidth="23040" windowHeight="8784"/>
  </bookViews>
  <sheets>
    <sheet name="SMCS.3" sheetId="1" r:id="rId1"/>
  </sheets>
  <definedNames>
    <definedName name="_Toc110754243" localSheetId="0">SMCS.3!$A$6</definedName>
    <definedName name="_Toc45702460" localSheetId="0">SMCS.3!#REF!</definedName>
    <definedName name="_Toc45702462" localSheetId="0">SMCS.3!#REF!</definedName>
    <definedName name="_Toc45702468" localSheetId="0">SMCS.3!#REF!</definedName>
    <definedName name="_Toc87295143" localSheetId="0">SMCS.3!$A$6</definedName>
    <definedName name="_xlnm.Print_Area" localSheetId="0">SMCS.3!$A$1:$F$172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51" i="1" l="1"/>
  <c r="AC51" i="1"/>
  <c r="AB51" i="1"/>
  <c r="AA51" i="1"/>
  <c r="AD50" i="1"/>
  <c r="AC50" i="1"/>
  <c r="AB50" i="1"/>
  <c r="AA50" i="1"/>
  <c r="AD49" i="1"/>
  <c r="AC49" i="1"/>
  <c r="AB49" i="1"/>
  <c r="AA49" i="1"/>
  <c r="AD48" i="1"/>
  <c r="AC48" i="1"/>
  <c r="AB48" i="1"/>
  <c r="AA48" i="1"/>
  <c r="AD47" i="1"/>
  <c r="AC47" i="1"/>
  <c r="AB47" i="1"/>
  <c r="AA47" i="1"/>
  <c r="AD46" i="1"/>
  <c r="AC46" i="1"/>
  <c r="AB46" i="1"/>
  <c r="AA46" i="1"/>
  <c r="AD45" i="1"/>
  <c r="AC45" i="1"/>
  <c r="AB45" i="1"/>
  <c r="AA45" i="1"/>
  <c r="AD44" i="1"/>
  <c r="AC44" i="1"/>
  <c r="AB44" i="1"/>
  <c r="AA44" i="1"/>
  <c r="AD43" i="1"/>
  <c r="AC43" i="1"/>
  <c r="AB43" i="1"/>
  <c r="AA43" i="1"/>
  <c r="AD42" i="1"/>
  <c r="AC42" i="1"/>
  <c r="AB42" i="1"/>
  <c r="AA42" i="1"/>
  <c r="AD41" i="1"/>
  <c r="AC41" i="1"/>
  <c r="AB41" i="1"/>
  <c r="AA41" i="1"/>
  <c r="AD40" i="1"/>
  <c r="AC40" i="1"/>
  <c r="AB40" i="1"/>
  <c r="AA40" i="1"/>
  <c r="AD39" i="1"/>
  <c r="AC39" i="1"/>
  <c r="AB39" i="1"/>
  <c r="AA39" i="1"/>
  <c r="AD38" i="1"/>
  <c r="AC38" i="1"/>
  <c r="AB38" i="1"/>
  <c r="AA38" i="1"/>
  <c r="AF37" i="1" s="1"/>
  <c r="AD36" i="1"/>
  <c r="AC36" i="1"/>
  <c r="AB36" i="1"/>
  <c r="AA36" i="1"/>
  <c r="AD35" i="1"/>
  <c r="AC35" i="1"/>
  <c r="AB35" i="1"/>
  <c r="AA35" i="1"/>
  <c r="AD34" i="1"/>
  <c r="AC34" i="1"/>
  <c r="AB34" i="1"/>
  <c r="AA34" i="1"/>
  <c r="AD33" i="1"/>
  <c r="AC33" i="1"/>
  <c r="AB33" i="1"/>
  <c r="AA33" i="1"/>
  <c r="AD32" i="1"/>
  <c r="AC32" i="1"/>
  <c r="AB32" i="1"/>
  <c r="AA32" i="1"/>
  <c r="AD31" i="1"/>
  <c r="AC31" i="1"/>
  <c r="AB31" i="1"/>
  <c r="AA31" i="1"/>
  <c r="AD30" i="1"/>
  <c r="AC30" i="1"/>
  <c r="AB30" i="1"/>
  <c r="AA30" i="1"/>
  <c r="AF28" i="1" s="1"/>
  <c r="AD29" i="1"/>
  <c r="AC29" i="1"/>
  <c r="AB29" i="1"/>
  <c r="AA29" i="1"/>
  <c r="AD27" i="1"/>
  <c r="AC27" i="1"/>
  <c r="AB27" i="1"/>
  <c r="AA27" i="1"/>
  <c r="AD26" i="1"/>
  <c r="AC26" i="1"/>
  <c r="AB26" i="1"/>
  <c r="AA26" i="1"/>
  <c r="AF24" i="1" s="1"/>
  <c r="AD25" i="1"/>
  <c r="AC25" i="1"/>
  <c r="AB25" i="1"/>
  <c r="AA25" i="1"/>
  <c r="AD23" i="1"/>
  <c r="AC23" i="1"/>
  <c r="AB23" i="1"/>
  <c r="AA23" i="1"/>
  <c r="AD22" i="1"/>
  <c r="AC22" i="1"/>
  <c r="AB22" i="1"/>
  <c r="AA22" i="1"/>
  <c r="AD21" i="1"/>
  <c r="AC21" i="1"/>
  <c r="AB21" i="1"/>
  <c r="AA21" i="1"/>
  <c r="AD20" i="1"/>
  <c r="AC20" i="1"/>
  <c r="AB20" i="1"/>
  <c r="AA20" i="1"/>
  <c r="AD19" i="1"/>
  <c r="AC19" i="1"/>
  <c r="AB19" i="1"/>
  <c r="AA19" i="1"/>
  <c r="AD18" i="1"/>
  <c r="AC18" i="1"/>
  <c r="AB18" i="1"/>
  <c r="AA18" i="1"/>
  <c r="AD17" i="1"/>
  <c r="AC17" i="1"/>
  <c r="AB17" i="1"/>
  <c r="AA17" i="1"/>
  <c r="AD16" i="1"/>
  <c r="AC16" i="1"/>
  <c r="AB16" i="1"/>
  <c r="AA16" i="1"/>
  <c r="AD15" i="1"/>
  <c r="AC15" i="1"/>
  <c r="AB15" i="1"/>
  <c r="AE13" i="1" s="1"/>
  <c r="E13" i="1" s="1"/>
  <c r="AA15" i="1"/>
  <c r="AD14" i="1"/>
  <c r="AC14" i="1"/>
  <c r="AB14" i="1"/>
  <c r="AA14" i="1"/>
  <c r="AF13" i="1"/>
  <c r="AD12" i="1"/>
  <c r="AC12" i="1"/>
  <c r="AB12" i="1"/>
  <c r="AA12" i="1"/>
  <c r="AD11" i="1"/>
  <c r="AC11" i="1"/>
  <c r="AB11" i="1"/>
  <c r="AA11" i="1"/>
  <c r="AD10" i="1"/>
  <c r="AC10" i="1"/>
  <c r="AB10" i="1"/>
  <c r="AA10" i="1"/>
  <c r="AD9" i="1"/>
  <c r="AC9" i="1"/>
  <c r="AB9" i="1"/>
  <c r="AA9" i="1"/>
  <c r="AF7" i="1" s="1"/>
  <c r="AD8" i="1"/>
  <c r="AC8" i="1"/>
  <c r="AB8" i="1"/>
  <c r="AA8" i="1"/>
  <c r="AA4" i="1" s="1"/>
  <c r="C4" i="1" s="1"/>
  <c r="AB4" i="1"/>
  <c r="AE7" i="1" l="1"/>
  <c r="E7" i="1" s="1"/>
  <c r="AE28" i="1"/>
  <c r="E28" i="1" s="1"/>
  <c r="AE24" i="1"/>
  <c r="E24" i="1" s="1"/>
  <c r="AE37" i="1"/>
  <c r="E37" i="1" s="1"/>
</calcChain>
</file>

<file path=xl/sharedStrings.xml><?xml version="1.0" encoding="utf-8"?>
<sst xmlns="http://schemas.openxmlformats.org/spreadsheetml/2006/main" count="104" uniqueCount="103">
  <si>
    <t xml:space="preserve"> Quality Assurance Center </t>
  </si>
  <si>
    <t xml:space="preserve">Oman Healthcare Accrediation System </t>
  </si>
  <si>
    <t xml:space="preserve">Self Assessment Tool (SAT) </t>
  </si>
  <si>
    <t>Chapter 4</t>
  </si>
  <si>
    <t>Specialized Medical Care Services (SMCS)</t>
  </si>
  <si>
    <t>Conformity Level</t>
  </si>
  <si>
    <t xml:space="preserve">Evidence </t>
  </si>
  <si>
    <t xml:space="preserve">Comments </t>
  </si>
  <si>
    <t>Diagnostic Imaging Services (RD)</t>
  </si>
  <si>
    <t>SMCS.28</t>
  </si>
  <si>
    <t>The radiology department is well staffed with qualified, trained, experienced staff.</t>
  </si>
  <si>
    <t>Total Measures: 5</t>
  </si>
  <si>
    <t>SMCS.28.a</t>
  </si>
  <si>
    <t xml:space="preserve">The director/ head of radiology department is qualified, trained, skilled and experienced radiologist. </t>
  </si>
  <si>
    <t>SMCS.28.b</t>
  </si>
  <si>
    <t>The radiology department staff have proper qualifications, training, and experience.</t>
  </si>
  <si>
    <t>SMCS.28.c</t>
  </si>
  <si>
    <t>Hospital has twenty-four-hour radiology service coverage</t>
  </si>
  <si>
    <t>SMCS.28.d</t>
  </si>
  <si>
    <t>The radiology department has a mechanism on developing human resources.</t>
  </si>
  <si>
    <t>SMCS.28.e</t>
  </si>
  <si>
    <t>The radiology department have records of staff trained in Basic Life Support (BLS).</t>
  </si>
  <si>
    <t>SMCS.29</t>
  </si>
  <si>
    <t>The hospital radiology imaging services are provided as per the scope of the hospital, and National laws and regulations.</t>
  </si>
  <si>
    <t>Total Measures: 10</t>
  </si>
  <si>
    <t>SMCS.29.a</t>
  </si>
  <si>
    <t>Radiology department services comply with legal and other requirements.</t>
  </si>
  <si>
    <t>SMCS.29.b</t>
  </si>
  <si>
    <t>Scope of the imaging services is commensurate to the services provided by the hospital.</t>
  </si>
  <si>
    <t>SMCS.29.c</t>
  </si>
  <si>
    <t>The infrastructure (physical and equipment) and manpower is adequate to provide for its defined scope of services.</t>
  </si>
  <si>
    <t>SMCS.29.d</t>
  </si>
  <si>
    <t xml:space="preserve">Adequately qualified and trained personnel perform, supervise and interpret the investigations. </t>
  </si>
  <si>
    <t>SMCS.29.e</t>
  </si>
  <si>
    <t>Documented and updated policies and procedures exist to ensure correct identification and safe and timely transportation of patients to and from the imaging services.</t>
  </si>
  <si>
    <t>SMCS.29.f</t>
  </si>
  <si>
    <t>The results are available within a defined timeframe</t>
  </si>
  <si>
    <t>SMCS.29.g</t>
  </si>
  <si>
    <t>Critical results are intimated immediately to the personnel concerned</t>
  </si>
  <si>
    <t>SMCS.29.h</t>
  </si>
  <si>
    <t>The results are reported in a standardized manner.</t>
  </si>
  <si>
    <t>SMCS.29.i</t>
  </si>
  <si>
    <t>There is a mechanism to address recall / amendment of reports whenever applicable.</t>
  </si>
  <si>
    <t>SMCS.29.j</t>
  </si>
  <si>
    <t>Imaging tests that are not available in the hospital are outsourced to other hospital(s) based on their quality assurance system</t>
  </si>
  <si>
    <t>SMCS.30</t>
  </si>
  <si>
    <t>The radiology department has policy and procedures manual to guide all radiological procedures.</t>
  </si>
  <si>
    <t>Total Measures: 3</t>
  </si>
  <si>
    <t>SMCS.30.a</t>
  </si>
  <si>
    <t xml:space="preserve">Hospital radiology department has policy and procedures address all important radiological investigations and procedures, including but is not limited to:  X-ray, ultrasounds, computed tomography (CT) scan, magnetic resonance imaging (MRI), angiogram, nuclear medicine imaging, portable radiology machines, mammography, etc. </t>
  </si>
  <si>
    <t>SMCS.30.b</t>
  </si>
  <si>
    <t>All radiology staff are trained and oriented to policies and procedures in their concerned areas.</t>
  </si>
  <si>
    <t>SMCS.30.c</t>
  </si>
  <si>
    <t xml:space="preserve">Department leaders conduct audit to assess compliance to policies and procedures safety measures in a regular predefined interval.  </t>
  </si>
  <si>
    <t>SMCS.31</t>
  </si>
  <si>
    <t>The radiology department has a quality assurance program for radiology and diagnostic imaging services.</t>
  </si>
  <si>
    <t>Total Measures: 8</t>
  </si>
  <si>
    <t>SMCS.31.a</t>
  </si>
  <si>
    <t xml:space="preserve">Hospital implements a quality assurance program for radiology and diagnostic testing. </t>
  </si>
  <si>
    <t>SMCS.31.b</t>
  </si>
  <si>
    <t>The program addresses periodic internal/external peer reviews of imaging protocols and results using appropriate sampling.</t>
  </si>
  <si>
    <t>SMCS.31.c</t>
  </si>
  <si>
    <t>The program addresses surveillance of imaging results in collaboration with referring clinicians for follow up wherever applicable.</t>
  </si>
  <si>
    <t>SMCS.31.d</t>
  </si>
  <si>
    <t>A system is in place to ensure the appropriateness of the investigations and procedures for the clinical indications.</t>
  </si>
  <si>
    <t>SMCS.31.e</t>
  </si>
  <si>
    <t xml:space="preserve">The program includes periodic calibration and maintenance of all equipment. </t>
  </si>
  <si>
    <t>SMCS.31.f</t>
  </si>
  <si>
    <t>The program includes the documentation of corrective and preventive actions.</t>
  </si>
  <si>
    <t>SMCS.31.g</t>
  </si>
  <si>
    <t xml:space="preserve">The program includes daily surveillance and documentation of imaging results. </t>
  </si>
  <si>
    <t>SMCS.31.h</t>
  </si>
  <si>
    <t xml:space="preserve">The program includes regular audit process for correction and improvement. </t>
  </si>
  <si>
    <t xml:space="preserve">SMCS.32  </t>
  </si>
  <si>
    <t>The radiology department has an established documented safety program in the diagnostic imaging services. (CSS 11)</t>
  </si>
  <si>
    <t>Total Measures: 14</t>
  </si>
  <si>
    <t>SMCS.32.a</t>
  </si>
  <si>
    <t>The department has documented radiation-safety program, which aligns with the hospital’s safety program.</t>
  </si>
  <si>
    <t>SMCS.32.b</t>
  </si>
  <si>
    <t xml:space="preserve">The program includes the management (Handling, usage and disposal, storing and transportation) of radioactive materials and hazardous materials used for therapeutic and diagnostic purposes. </t>
  </si>
  <si>
    <t>SMCS.32.c</t>
  </si>
  <si>
    <t xml:space="preserve">The program includes checking/screening patients for safety risks before exposure to any imaging procedures, e.g., checking female patients for pregnancy. </t>
  </si>
  <si>
    <t>SMCS.32.d</t>
  </si>
  <si>
    <t>The program includes guidelines and procedures that governs the use of  contrast media.</t>
  </si>
  <si>
    <t>SMCS.32.e</t>
  </si>
  <si>
    <t>The program includes guidelines and procedures for non- radiation hazards. E.g., infection control, electrical hazards and immobilization.</t>
  </si>
  <si>
    <t>SMCS.32.f</t>
  </si>
  <si>
    <t xml:space="preserve">The program guides monitoring of the staff for radiation exposure, periodically. </t>
  </si>
  <si>
    <t>SMCS.32.g</t>
  </si>
  <si>
    <t>Imaging signage is prominently displayed in all appropriate locations.</t>
  </si>
  <si>
    <t>SMCS.32.h</t>
  </si>
  <si>
    <t xml:space="preserve">The program includes regular testing of radiation protecting aprons, thyroid, and gonad shield for patients and staff. </t>
  </si>
  <si>
    <t>SMCS.32.i</t>
  </si>
  <si>
    <t xml:space="preserve">The department’s leaders maintain records on staff radiation exposure for the last year.  </t>
  </si>
  <si>
    <t>SMCS.32.j</t>
  </si>
  <si>
    <t xml:space="preserve">The program includes regular testing of radiation protecting aprons, thyroid, and gonad shield for patients and staff </t>
  </si>
  <si>
    <t>SMCS.32.k</t>
  </si>
  <si>
    <t>SMCS.32.l</t>
  </si>
  <si>
    <t xml:space="preserve">Radiology department leaders maintain records on staff radiation exposure for the last year.  </t>
  </si>
  <si>
    <t>SMCS.32.m</t>
  </si>
  <si>
    <t xml:space="preserve">Radiology department leaders ensure that all staff are aware about the safety program. </t>
  </si>
  <si>
    <t>SMCS.32.n</t>
  </si>
  <si>
    <t xml:space="preserve">There is a regular audit to monitor the implementation of the safety program.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</si>
</sst>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2"/>
      <color theme="1"/>
      <name val="Calibri"/>
      <charset val="134"/>
      <scheme val="minor"/>
    </font>
    <font>
      <b/>
      <sz val="16"/>
      <color rgb="FF000000"/>
      <name val="Times New Roman"/>
      <charset val="134"/>
    </font>
    <font>
      <sz val="12"/>
      <color rgb="FF000000"/>
      <name val="Calibri"/>
      <charset val="134"/>
      <scheme val="minor"/>
    </font>
    <font>
      <b/>
      <sz val="14"/>
      <color rgb="FF000000"/>
      <name val="Times New Roman"/>
      <charset val="134"/>
    </font>
    <font>
      <sz val="11"/>
      <color rgb="FF9C6500"/>
      <name val="Calibri"/>
      <charset val="134"/>
      <scheme val="minor"/>
    </font>
    <font>
      <b/>
      <sz val="18"/>
      <color rgb="FFC00000"/>
      <name val="Times New Roman"/>
      <charset val="134"/>
    </font>
    <font>
      <b/>
      <sz val="16"/>
      <name val="Times New Roman"/>
      <charset val="134"/>
    </font>
    <font>
      <b/>
      <sz val="14"/>
      <name val="Times New Roman"/>
      <charset val="134"/>
    </font>
    <font>
      <b/>
      <sz val="12"/>
      <color rgb="FF000000"/>
      <name val="Times New Roman"/>
      <charset val="134"/>
    </font>
    <font>
      <b/>
      <sz val="18"/>
      <color theme="1"/>
      <name val="Times New Roman"/>
      <charset val="134"/>
    </font>
    <font>
      <b/>
      <sz val="14"/>
      <color theme="1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Times New Roman"/>
      <charset val="134"/>
    </font>
    <font>
      <b/>
      <sz val="16"/>
      <color theme="1"/>
      <name val="Times New Roman"/>
      <charset val="134"/>
    </font>
    <font>
      <b/>
      <sz val="18"/>
      <name val="Times New Roman"/>
      <charset val="134"/>
    </font>
    <font>
      <sz val="14"/>
      <name val="Times New Roman"/>
      <charset val="134"/>
    </font>
    <font>
      <sz val="12"/>
      <color theme="1"/>
      <name val="Times New Roman"/>
      <charset val="134"/>
    </font>
    <font>
      <sz val="14"/>
      <color theme="1"/>
      <name val="Calibri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E4DFEC"/>
        <bgColor rgb="FF000000"/>
      </patternFill>
    </fill>
    <fill>
      <patternFill patternType="solid">
        <fgColor rgb="FFDDD9C4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EB9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79646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</borders>
  <cellStyleXfs count="2">
    <xf numFmtId="0" fontId="0" fillId="0" borderId="0"/>
    <xf numFmtId="0" fontId="4" fillId="5" borderId="0" applyNumberFormat="0" applyBorder="0" applyAlignment="0" applyProtection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2" fillId="4" borderId="4" xfId="0" applyFont="1" applyFill="1" applyBorder="1"/>
    <xf numFmtId="0" fontId="3" fillId="4" borderId="5" xfId="0" applyFont="1" applyFill="1" applyBorder="1" applyAlignment="1">
      <alignment horizontal="center" vertical="center"/>
    </xf>
    <xf numFmtId="0" fontId="5" fillId="5" borderId="6" xfId="1" applyFont="1" applyBorder="1" applyAlignment="1">
      <alignment horizontal="center" vertical="center"/>
    </xf>
    <xf numFmtId="0" fontId="5" fillId="5" borderId="5" xfId="1" applyFont="1" applyBorder="1" applyAlignment="1">
      <alignment horizontal="center" vertical="center"/>
    </xf>
    <xf numFmtId="0" fontId="5" fillId="5" borderId="7" xfId="1" applyFont="1" applyBorder="1" applyAlignment="1">
      <alignment horizontal="center" vertical="center"/>
    </xf>
    <xf numFmtId="0" fontId="6" fillId="6" borderId="8" xfId="0" applyFont="1" applyFill="1" applyBorder="1" applyAlignment="1">
      <alignment vertical="center"/>
    </xf>
    <xf numFmtId="0" fontId="7" fillId="6" borderId="8" xfId="0" applyFont="1" applyFill="1" applyBorder="1" applyAlignment="1">
      <alignment vertical="center"/>
    </xf>
    <xf numFmtId="0" fontId="8" fillId="7" borderId="8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 wrapText="1"/>
    </xf>
    <xf numFmtId="0" fontId="6" fillId="8" borderId="11" xfId="0" applyFont="1" applyFill="1" applyBorder="1" applyAlignment="1">
      <alignment horizontal="center" vertical="center" wrapText="1"/>
    </xf>
    <xf numFmtId="0" fontId="9" fillId="9" borderId="12" xfId="0" applyFont="1" applyFill="1" applyBorder="1" applyAlignment="1">
      <alignment horizontal="justify" vertical="center" wrapText="1"/>
    </xf>
    <xf numFmtId="0" fontId="10" fillId="9" borderId="12" xfId="0" applyFont="1" applyFill="1" applyBorder="1" applyAlignment="1">
      <alignment vertical="center" wrapText="1"/>
    </xf>
    <xf numFmtId="0" fontId="10" fillId="9" borderId="9" xfId="0" applyFont="1" applyFill="1" applyBorder="1" applyAlignment="1">
      <alignment horizontal="left" vertical="center"/>
    </xf>
    <xf numFmtId="0" fontId="10" fillId="9" borderId="11" xfId="0" applyFont="1" applyFill="1" applyBorder="1" applyAlignment="1">
      <alignment horizontal="left" vertical="center"/>
    </xf>
    <xf numFmtId="0" fontId="10" fillId="9" borderId="13" xfId="0" applyFont="1" applyFill="1" applyBorder="1" applyAlignment="1">
      <alignment horizontal="left" vertical="center"/>
    </xf>
    <xf numFmtId="0" fontId="1" fillId="10" borderId="8" xfId="0" applyFont="1" applyFill="1" applyBorder="1" applyAlignment="1">
      <alignment horizontal="justify" vertical="center" wrapText="1"/>
    </xf>
    <xf numFmtId="0" fontId="11" fillId="0" borderId="8" xfId="0" applyFont="1" applyBorder="1" applyAlignment="1">
      <alignment vertical="center" wrapText="1"/>
    </xf>
    <xf numFmtId="0" fontId="12" fillId="0" borderId="8" xfId="0" applyFont="1" applyBorder="1" applyAlignment="1" applyProtection="1">
      <alignment horizontal="left"/>
      <protection locked="0"/>
    </xf>
    <xf numFmtId="0" fontId="12" fillId="0" borderId="12" xfId="0" applyFont="1" applyBorder="1" applyAlignment="1" applyProtection="1">
      <alignment horizontal="left"/>
      <protection locked="0"/>
    </xf>
    <xf numFmtId="0" fontId="13" fillId="9" borderId="12" xfId="0" applyFont="1" applyFill="1" applyBorder="1" applyAlignment="1">
      <alignment horizontal="justify" vertical="center" wrapText="1"/>
    </xf>
    <xf numFmtId="0" fontId="1" fillId="10" borderId="13" xfId="0" applyFont="1" applyFill="1" applyBorder="1" applyAlignment="1">
      <alignment horizontal="justify" vertical="center" wrapText="1"/>
    </xf>
    <xf numFmtId="0" fontId="11" fillId="0" borderId="12" xfId="0" applyFont="1" applyBorder="1" applyAlignment="1">
      <alignment horizontal="left" vertical="center" wrapText="1"/>
    </xf>
    <xf numFmtId="0" fontId="14" fillId="11" borderId="12" xfId="0" applyFont="1" applyFill="1" applyBorder="1" applyAlignment="1">
      <alignment horizontal="justify" vertical="center" wrapText="1"/>
    </xf>
    <xf numFmtId="0" fontId="7" fillId="11" borderId="12" xfId="0" applyFont="1" applyFill="1" applyBorder="1" applyAlignment="1">
      <alignment vertical="center" wrapText="1"/>
    </xf>
    <xf numFmtId="0" fontId="10" fillId="11" borderId="9" xfId="0" applyFont="1" applyFill="1" applyBorder="1" applyAlignment="1">
      <alignment horizontal="left" vertical="center"/>
    </xf>
    <xf numFmtId="0" fontId="10" fillId="11" borderId="11" xfId="0" applyFont="1" applyFill="1" applyBorder="1" applyAlignment="1">
      <alignment horizontal="left" vertical="center"/>
    </xf>
    <xf numFmtId="0" fontId="10" fillId="11" borderId="13" xfId="0" applyFont="1" applyFill="1" applyBorder="1" applyAlignment="1">
      <alignment horizontal="left" vertical="center"/>
    </xf>
    <xf numFmtId="0" fontId="6" fillId="10" borderId="8" xfId="0" applyFont="1" applyFill="1" applyBorder="1" applyAlignment="1">
      <alignment horizontal="justify" vertical="center" wrapText="1"/>
    </xf>
    <xf numFmtId="0" fontId="15" fillId="0" borderId="8" xfId="0" applyFont="1" applyBorder="1" applyAlignment="1">
      <alignment vertical="center" wrapText="1"/>
    </xf>
    <xf numFmtId="0" fontId="16" fillId="0" borderId="0" xfId="0" applyFont="1" applyAlignment="1">
      <alignment horizontal="left"/>
    </xf>
    <xf numFmtId="0" fontId="17" fillId="0" borderId="0" xfId="0" applyFont="1"/>
    <xf numFmtId="0" fontId="12" fillId="0" borderId="0" xfId="0" applyFont="1" applyAlignment="1">
      <alignment horizontal="left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F172"/>
  <sheetViews>
    <sheetView tabSelected="1" topLeftCell="A37" workbookViewId="0">
      <selection activeCell="C51" sqref="C51"/>
    </sheetView>
  </sheetViews>
  <sheetFormatPr defaultColWidth="11" defaultRowHeight="18"/>
  <cols>
    <col min="1" max="1" width="18.3984375" customWidth="1"/>
    <col min="2" max="2" width="84.5" style="42" customWidth="1"/>
    <col min="3" max="3" width="27.69921875" style="43" customWidth="1"/>
    <col min="4" max="5" width="70.59765625" style="43" customWidth="1"/>
  </cols>
  <sheetData>
    <row r="1" spans="1:32" ht="40.5" customHeight="1">
      <c r="A1" s="1" t="s">
        <v>0</v>
      </c>
      <c r="B1" s="2"/>
      <c r="C1" s="2"/>
      <c r="D1" s="2"/>
      <c r="E1" s="3"/>
    </row>
    <row r="2" spans="1:32" ht="29.25" customHeight="1">
      <c r="A2" s="4" t="s">
        <v>1</v>
      </c>
      <c r="B2" s="5"/>
      <c r="C2" s="5"/>
      <c r="D2" s="5"/>
      <c r="E2" s="6"/>
    </row>
    <row r="3" spans="1:32" ht="33.9" customHeight="1">
      <c r="A3" s="7" t="s">
        <v>2</v>
      </c>
      <c r="B3" s="8"/>
      <c r="C3" s="8"/>
      <c r="D3" s="8"/>
      <c r="E3" s="9"/>
    </row>
    <row r="4" spans="1:32" ht="39.75" customHeight="1" thickBot="1">
      <c r="A4" s="10"/>
      <c r="B4" s="11"/>
      <c r="C4" s="12" t="str">
        <f>"Total Score: "&amp;ROUND((AA4/AB4)*100,2)&amp;"%"</f>
        <v>Total Score: 0%</v>
      </c>
      <c r="D4" s="13"/>
      <c r="E4" s="14"/>
      <c r="AA4">
        <f>SUM(AA7:AA51)+SUM(AB7:AB51)*0.5</f>
        <v>0</v>
      </c>
      <c r="AB4">
        <f>COUNT(AA7:AA51)-SUM(AB7:AD51)</f>
        <v>40</v>
      </c>
    </row>
    <row r="5" spans="1:32" ht="38.25" customHeight="1" thickTop="1" thickBot="1">
      <c r="A5" s="15" t="s">
        <v>3</v>
      </c>
      <c r="B5" s="16" t="s">
        <v>4</v>
      </c>
      <c r="C5" s="17" t="s">
        <v>5</v>
      </c>
      <c r="D5" s="18" t="s">
        <v>6</v>
      </c>
      <c r="E5" s="18" t="s">
        <v>7</v>
      </c>
    </row>
    <row r="6" spans="1:32" ht="50.25" customHeight="1" thickTop="1" thickBot="1">
      <c r="A6" s="19" t="s">
        <v>8</v>
      </c>
      <c r="B6" s="20"/>
      <c r="C6" s="20"/>
      <c r="D6" s="20"/>
      <c r="E6" s="21"/>
    </row>
    <row r="7" spans="1:32" ht="51" customHeight="1" thickTop="1" thickBot="1">
      <c r="A7" s="22" t="s">
        <v>9</v>
      </c>
      <c r="B7" s="23" t="s">
        <v>10</v>
      </c>
      <c r="C7" s="24" t="s">
        <v>11</v>
      </c>
      <c r="D7" s="25"/>
      <c r="E7" s="26" t="str">
        <f>"Quotation: "&amp;ROUND((AE7/AF7)*100,2)&amp;"%"</f>
        <v>Quotation: 0%</v>
      </c>
      <c r="AE7">
        <f>SUM(AA8:AA12)+SUM(AB8:AB12)*0.5</f>
        <v>0</v>
      </c>
      <c r="AF7">
        <f>COUNT(AA8:AA12)-SUM(AD8:AD12)</f>
        <v>5</v>
      </c>
    </row>
    <row r="8" spans="1:32" ht="37.200000000000003" thickTop="1" thickBot="1">
      <c r="A8" s="27" t="s">
        <v>12</v>
      </c>
      <c r="B8" s="28" t="s">
        <v>13</v>
      </c>
      <c r="C8" s="29"/>
      <c r="D8" s="29"/>
      <c r="E8" s="29"/>
      <c r="AA8">
        <f>IF(C8="Met",1,0)</f>
        <v>0</v>
      </c>
      <c r="AB8">
        <f>IF(C8="Partially Met",1,0)</f>
        <v>0</v>
      </c>
      <c r="AC8">
        <f>IF(C8="UnMet",1,0)</f>
        <v>0</v>
      </c>
      <c r="AD8">
        <f>IF(C8="Not Applicable",1,0)</f>
        <v>0</v>
      </c>
    </row>
    <row r="9" spans="1:32" ht="21.6" thickTop="1" thickBot="1">
      <c r="A9" s="27" t="s">
        <v>14</v>
      </c>
      <c r="B9" s="28" t="s">
        <v>15</v>
      </c>
      <c r="C9" s="29"/>
      <c r="D9" s="30"/>
      <c r="E9" s="30"/>
      <c r="AA9">
        <f>IF(C9="Met",1,0)</f>
        <v>0</v>
      </c>
      <c r="AB9">
        <f>IF(C9="Partially Met",1,0)</f>
        <v>0</v>
      </c>
      <c r="AC9">
        <f>IF(C9="UnMet",1,0)</f>
        <v>0</v>
      </c>
      <c r="AD9">
        <f>IF(C9="Not Applicable",1,0)</f>
        <v>0</v>
      </c>
    </row>
    <row r="10" spans="1:32" ht="21.6" thickTop="1" thickBot="1">
      <c r="A10" s="27" t="s">
        <v>16</v>
      </c>
      <c r="B10" s="28" t="s">
        <v>17</v>
      </c>
      <c r="C10" s="29"/>
      <c r="D10" s="30"/>
      <c r="E10" s="30"/>
      <c r="AA10">
        <f>IF(C10="Met",1,0)</f>
        <v>0</v>
      </c>
      <c r="AB10">
        <f>IF(C10="Partially Met",1,0)</f>
        <v>0</v>
      </c>
      <c r="AC10">
        <f>IF(C10="UnMet",1,0)</f>
        <v>0</v>
      </c>
      <c r="AD10">
        <f>IF(C10="Not Applicable",1,0)</f>
        <v>0</v>
      </c>
    </row>
    <row r="11" spans="1:32" ht="21.6" thickTop="1" thickBot="1">
      <c r="A11" s="27" t="s">
        <v>18</v>
      </c>
      <c r="B11" s="28" t="s">
        <v>19</v>
      </c>
      <c r="C11" s="29"/>
      <c r="D11" s="30"/>
      <c r="E11" s="30"/>
      <c r="AA11">
        <f>IF(C11="Met",1,0)</f>
        <v>0</v>
      </c>
      <c r="AB11">
        <f>IF(C11="Partially Met",1,0)</f>
        <v>0</v>
      </c>
      <c r="AC11">
        <f>IF(C11="UnMet",1,0)</f>
        <v>0</v>
      </c>
      <c r="AD11">
        <f>IF(C11="Not Applicable",1,0)</f>
        <v>0</v>
      </c>
    </row>
    <row r="12" spans="1:32" ht="21.6" thickTop="1" thickBot="1">
      <c r="A12" s="27" t="s">
        <v>20</v>
      </c>
      <c r="B12" s="28" t="s">
        <v>21</v>
      </c>
      <c r="C12" s="29"/>
      <c r="D12" s="30"/>
      <c r="E12" s="30"/>
      <c r="AA12">
        <f>IF(C12="Met",1,0)</f>
        <v>0</v>
      </c>
      <c r="AB12">
        <f>IF(C12="Partially Met",1,0)</f>
        <v>0</v>
      </c>
      <c r="AC12">
        <f>IF(C12="UnMet",1,0)</f>
        <v>0</v>
      </c>
      <c r="AD12">
        <f>IF(C12="Not Applicable",1,0)</f>
        <v>0</v>
      </c>
    </row>
    <row r="13" spans="1:32" ht="79.5" customHeight="1" thickTop="1" thickBot="1">
      <c r="A13" s="31" t="s">
        <v>22</v>
      </c>
      <c r="B13" s="23" t="s">
        <v>23</v>
      </c>
      <c r="C13" s="24" t="s">
        <v>24</v>
      </c>
      <c r="D13" s="25"/>
      <c r="E13" s="26" t="str">
        <f>"Quotation: "&amp;ROUND((AE13/AF13)*100,2)&amp;"%"</f>
        <v>Quotation: 0%</v>
      </c>
      <c r="AE13">
        <f>SUM(AA14:AA23)+SUM(AB14:AB23)*0.5</f>
        <v>0</v>
      </c>
      <c r="AF13">
        <f>COUNT(AA14:AA23)-SUM(AD14:AD23)</f>
        <v>10</v>
      </c>
    </row>
    <row r="14" spans="1:32" ht="30" customHeight="1" thickTop="1" thickBot="1">
      <c r="A14" s="27" t="s">
        <v>25</v>
      </c>
      <c r="B14" s="28" t="s">
        <v>26</v>
      </c>
      <c r="C14" s="29"/>
      <c r="D14" s="30"/>
      <c r="E14" s="30"/>
      <c r="AA14">
        <f t="shared" ref="AA14:AA23" si="0">IF(C14="Met",1,0)</f>
        <v>0</v>
      </c>
      <c r="AB14">
        <f t="shared" ref="AB14:AB23" si="1">IF(C14="Partially Met",1,0)</f>
        <v>0</v>
      </c>
      <c r="AC14">
        <f t="shared" ref="AC14:AC23" si="2">IF(C14="UnMet",1,0)</f>
        <v>0</v>
      </c>
      <c r="AD14">
        <f t="shared" ref="AD14:AD23" si="3">IF(C14="Not Applicable",1,0)</f>
        <v>0</v>
      </c>
    </row>
    <row r="15" spans="1:32" ht="31.5" customHeight="1" thickTop="1" thickBot="1">
      <c r="A15" s="27" t="s">
        <v>27</v>
      </c>
      <c r="B15" s="28" t="s">
        <v>28</v>
      </c>
      <c r="C15" s="29"/>
      <c r="D15" s="30"/>
      <c r="E15" s="30"/>
      <c r="AA15">
        <f t="shared" si="0"/>
        <v>0</v>
      </c>
      <c r="AB15">
        <f t="shared" si="1"/>
        <v>0</v>
      </c>
      <c r="AC15">
        <f t="shared" si="2"/>
        <v>0</v>
      </c>
      <c r="AD15">
        <f t="shared" si="3"/>
        <v>0</v>
      </c>
    </row>
    <row r="16" spans="1:32" ht="37.200000000000003" thickTop="1" thickBot="1">
      <c r="A16" s="27" t="s">
        <v>29</v>
      </c>
      <c r="B16" s="28" t="s">
        <v>30</v>
      </c>
      <c r="C16" s="29"/>
      <c r="D16" s="30"/>
      <c r="E16" s="30"/>
      <c r="AA16">
        <f t="shared" si="0"/>
        <v>0</v>
      </c>
      <c r="AB16">
        <f t="shared" si="1"/>
        <v>0</v>
      </c>
      <c r="AC16">
        <f t="shared" si="2"/>
        <v>0</v>
      </c>
      <c r="AD16">
        <f t="shared" si="3"/>
        <v>0</v>
      </c>
    </row>
    <row r="17" spans="1:32" ht="37.200000000000003" thickTop="1" thickBot="1">
      <c r="A17" s="27" t="s">
        <v>31</v>
      </c>
      <c r="B17" s="28" t="s">
        <v>32</v>
      </c>
      <c r="C17" s="29"/>
      <c r="D17" s="30"/>
      <c r="E17" s="30"/>
      <c r="AA17">
        <f t="shared" si="0"/>
        <v>0</v>
      </c>
      <c r="AB17">
        <f t="shared" si="1"/>
        <v>0</v>
      </c>
      <c r="AC17">
        <f t="shared" si="2"/>
        <v>0</v>
      </c>
      <c r="AD17">
        <f t="shared" si="3"/>
        <v>0</v>
      </c>
    </row>
    <row r="18" spans="1:32" ht="37.200000000000003" thickTop="1" thickBot="1">
      <c r="A18" s="27" t="s">
        <v>33</v>
      </c>
      <c r="B18" s="28" t="s">
        <v>34</v>
      </c>
      <c r="C18" s="29"/>
      <c r="D18" s="30"/>
      <c r="E18" s="30"/>
      <c r="AA18">
        <f t="shared" si="0"/>
        <v>0</v>
      </c>
      <c r="AB18">
        <f t="shared" si="1"/>
        <v>0</v>
      </c>
      <c r="AC18">
        <f t="shared" si="2"/>
        <v>0</v>
      </c>
      <c r="AD18">
        <f t="shared" si="3"/>
        <v>0</v>
      </c>
    </row>
    <row r="19" spans="1:32" ht="21.6" thickTop="1" thickBot="1">
      <c r="A19" s="27" t="s">
        <v>35</v>
      </c>
      <c r="B19" s="28" t="s">
        <v>36</v>
      </c>
      <c r="C19" s="29"/>
      <c r="D19" s="30"/>
      <c r="E19" s="30"/>
      <c r="AA19">
        <f t="shared" si="0"/>
        <v>0</v>
      </c>
      <c r="AB19">
        <f t="shared" si="1"/>
        <v>0</v>
      </c>
      <c r="AC19">
        <f t="shared" si="2"/>
        <v>0</v>
      </c>
      <c r="AD19">
        <f t="shared" si="3"/>
        <v>0</v>
      </c>
    </row>
    <row r="20" spans="1:32" ht="21.6" thickTop="1" thickBot="1">
      <c r="A20" s="27" t="s">
        <v>37</v>
      </c>
      <c r="B20" s="28" t="s">
        <v>38</v>
      </c>
      <c r="C20" s="29"/>
      <c r="D20" s="30"/>
      <c r="E20" s="30"/>
      <c r="AA20">
        <f t="shared" si="0"/>
        <v>0</v>
      </c>
      <c r="AB20">
        <f t="shared" si="1"/>
        <v>0</v>
      </c>
      <c r="AC20">
        <f t="shared" si="2"/>
        <v>0</v>
      </c>
      <c r="AD20">
        <f t="shared" si="3"/>
        <v>0</v>
      </c>
    </row>
    <row r="21" spans="1:32" ht="21.6" thickTop="1" thickBot="1">
      <c r="A21" s="27" t="s">
        <v>39</v>
      </c>
      <c r="B21" s="28" t="s">
        <v>40</v>
      </c>
      <c r="C21" s="29"/>
      <c r="D21" s="30"/>
      <c r="E21" s="30"/>
      <c r="AA21">
        <f t="shared" si="0"/>
        <v>0</v>
      </c>
      <c r="AB21">
        <f t="shared" si="1"/>
        <v>0</v>
      </c>
      <c r="AC21">
        <f t="shared" si="2"/>
        <v>0</v>
      </c>
      <c r="AD21">
        <f t="shared" si="3"/>
        <v>0</v>
      </c>
    </row>
    <row r="22" spans="1:32" ht="21.6" thickTop="1" thickBot="1">
      <c r="A22" s="27" t="s">
        <v>41</v>
      </c>
      <c r="B22" s="28" t="s">
        <v>42</v>
      </c>
      <c r="C22" s="29"/>
      <c r="D22" s="30"/>
      <c r="E22" s="30"/>
      <c r="AA22">
        <f t="shared" si="0"/>
        <v>0</v>
      </c>
      <c r="AB22">
        <f t="shared" si="1"/>
        <v>0</v>
      </c>
      <c r="AC22">
        <f t="shared" si="2"/>
        <v>0</v>
      </c>
      <c r="AD22">
        <f t="shared" si="3"/>
        <v>0</v>
      </c>
    </row>
    <row r="23" spans="1:32" ht="37.200000000000003" thickTop="1" thickBot="1">
      <c r="A23" s="27" t="s">
        <v>43</v>
      </c>
      <c r="B23" s="28" t="s">
        <v>44</v>
      </c>
      <c r="C23" s="29"/>
      <c r="D23" s="30"/>
      <c r="E23" s="30"/>
      <c r="AA23">
        <f t="shared" si="0"/>
        <v>0</v>
      </c>
      <c r="AB23">
        <f t="shared" si="1"/>
        <v>0</v>
      </c>
      <c r="AC23">
        <f t="shared" si="2"/>
        <v>0</v>
      </c>
      <c r="AD23">
        <f t="shared" si="3"/>
        <v>0</v>
      </c>
    </row>
    <row r="24" spans="1:32" ht="60.75" customHeight="1" thickTop="1" thickBot="1">
      <c r="A24" s="22" t="s">
        <v>45</v>
      </c>
      <c r="B24" s="23" t="s">
        <v>46</v>
      </c>
      <c r="C24" s="24" t="s">
        <v>47</v>
      </c>
      <c r="D24" s="25"/>
      <c r="E24" s="26" t="str">
        <f>"Quotation: "&amp;ROUND((AE24/AF24)*100,2)&amp;"%"</f>
        <v>Quotation: 0%</v>
      </c>
      <c r="AE24">
        <f>SUM(AA25:AA27)+SUM(AB25:AB27)*0.5</f>
        <v>0</v>
      </c>
      <c r="AF24">
        <f>COUNT(AA25:AA27)-SUM(AD25:AD27)</f>
        <v>3</v>
      </c>
    </row>
    <row r="25" spans="1:32" ht="84.75" customHeight="1" thickTop="1" thickBot="1">
      <c r="A25" s="32" t="s">
        <v>48</v>
      </c>
      <c r="B25" s="33" t="s">
        <v>49</v>
      </c>
      <c r="C25" s="30"/>
      <c r="D25" s="30"/>
      <c r="E25" s="30"/>
      <c r="AA25">
        <f>IF(C25="Met",1,0)</f>
        <v>0</v>
      </c>
      <c r="AB25">
        <f>IF(C25="Partially Met",1,0)</f>
        <v>0</v>
      </c>
      <c r="AC25">
        <f>IF(C25="UnMet",1,0)</f>
        <v>0</v>
      </c>
      <c r="AD25">
        <f>IF(C25="Not Applicable",1,0)</f>
        <v>0</v>
      </c>
    </row>
    <row r="26" spans="1:32" ht="37.5" customHeight="1" thickTop="1" thickBot="1">
      <c r="A26" s="27" t="s">
        <v>50</v>
      </c>
      <c r="B26" s="28" t="s">
        <v>51</v>
      </c>
      <c r="C26" s="29"/>
      <c r="D26" s="30"/>
      <c r="E26" s="30"/>
      <c r="AA26">
        <f>IF(C26="Met",1,0)</f>
        <v>0</v>
      </c>
      <c r="AB26">
        <f>IF(C26="Partially Met",1,0)</f>
        <v>0</v>
      </c>
      <c r="AC26">
        <f>IF(C26="UnMet",1,0)</f>
        <v>0</v>
      </c>
      <c r="AD26">
        <f>IF(C26="Not Applicable",1,0)</f>
        <v>0</v>
      </c>
    </row>
    <row r="27" spans="1:32" ht="45" customHeight="1" thickTop="1" thickBot="1">
      <c r="A27" s="27" t="s">
        <v>52</v>
      </c>
      <c r="B27" s="28" t="s">
        <v>53</v>
      </c>
      <c r="C27" s="29"/>
      <c r="D27" s="30"/>
      <c r="E27" s="30"/>
      <c r="AA27">
        <f>IF(C27="Met",1,0)</f>
        <v>0</v>
      </c>
      <c r="AB27">
        <f>IF(C27="Partially Met",1,0)</f>
        <v>0</v>
      </c>
      <c r="AC27">
        <f>IF(C27="UnMet",1,0)</f>
        <v>0</v>
      </c>
      <c r="AD27">
        <f>IF(C27="Not Applicable",1,0)</f>
        <v>0</v>
      </c>
    </row>
    <row r="28" spans="1:32" ht="70.5" customHeight="1" thickTop="1" thickBot="1">
      <c r="A28" s="22" t="s">
        <v>54</v>
      </c>
      <c r="B28" s="23" t="s">
        <v>55</v>
      </c>
      <c r="C28" s="24" t="s">
        <v>56</v>
      </c>
      <c r="D28" s="25"/>
      <c r="E28" s="26" t="str">
        <f>"Quotation: "&amp;ROUND((AE28/AF28)*100,2)&amp;"%"</f>
        <v>Quotation: 0%</v>
      </c>
      <c r="AE28">
        <f>SUM(AA29:AA36)+SUM(AB29:AB36)*0.5</f>
        <v>0</v>
      </c>
      <c r="AF28">
        <f>COUNT(AA29:AA36)-SUM(AD29:AD36)</f>
        <v>8</v>
      </c>
    </row>
    <row r="29" spans="1:32" ht="21.6" thickTop="1" thickBot="1">
      <c r="A29" s="27" t="s">
        <v>57</v>
      </c>
      <c r="B29" s="28" t="s">
        <v>58</v>
      </c>
      <c r="C29" s="29"/>
      <c r="D29" s="30"/>
      <c r="E29" s="30"/>
      <c r="AA29">
        <f t="shared" ref="AA29:AA36" si="4">IF(C29="Met",1,0)</f>
        <v>0</v>
      </c>
      <c r="AB29">
        <f t="shared" ref="AB29:AB36" si="5">IF(C29="Partially Met",1,0)</f>
        <v>0</v>
      </c>
      <c r="AC29">
        <f t="shared" ref="AC29:AC36" si="6">IF(C29="UnMet",1,0)</f>
        <v>0</v>
      </c>
      <c r="AD29">
        <f t="shared" ref="AD29:AD36" si="7">IF(C29="Not Applicable",1,0)</f>
        <v>0</v>
      </c>
    </row>
    <row r="30" spans="1:32" ht="37.200000000000003" thickTop="1" thickBot="1">
      <c r="A30" s="27" t="s">
        <v>59</v>
      </c>
      <c r="B30" s="28" t="s">
        <v>60</v>
      </c>
      <c r="C30" s="29"/>
      <c r="D30" s="30"/>
      <c r="E30" s="30"/>
      <c r="AA30">
        <f t="shared" si="4"/>
        <v>0</v>
      </c>
      <c r="AB30">
        <f t="shared" si="5"/>
        <v>0</v>
      </c>
      <c r="AC30">
        <f t="shared" si="6"/>
        <v>0</v>
      </c>
      <c r="AD30">
        <f t="shared" si="7"/>
        <v>0</v>
      </c>
    </row>
    <row r="31" spans="1:32" ht="37.200000000000003" thickTop="1" thickBot="1">
      <c r="A31" s="27" t="s">
        <v>61</v>
      </c>
      <c r="B31" s="28" t="s">
        <v>62</v>
      </c>
      <c r="C31" s="29"/>
      <c r="D31" s="30"/>
      <c r="E31" s="30"/>
      <c r="AA31">
        <f t="shared" si="4"/>
        <v>0</v>
      </c>
      <c r="AB31">
        <f t="shared" si="5"/>
        <v>0</v>
      </c>
      <c r="AC31">
        <f t="shared" si="6"/>
        <v>0</v>
      </c>
      <c r="AD31">
        <f t="shared" si="7"/>
        <v>0</v>
      </c>
    </row>
    <row r="32" spans="1:32" ht="37.200000000000003" thickTop="1" thickBot="1">
      <c r="A32" s="27" t="s">
        <v>63</v>
      </c>
      <c r="B32" s="28" t="s">
        <v>64</v>
      </c>
      <c r="C32" s="29"/>
      <c r="D32" s="30"/>
      <c r="E32" s="30"/>
      <c r="AA32">
        <f t="shared" si="4"/>
        <v>0</v>
      </c>
      <c r="AB32">
        <f t="shared" si="5"/>
        <v>0</v>
      </c>
      <c r="AC32">
        <f t="shared" si="6"/>
        <v>0</v>
      </c>
      <c r="AD32">
        <f t="shared" si="7"/>
        <v>0</v>
      </c>
    </row>
    <row r="33" spans="1:32" ht="21.6" thickTop="1" thickBot="1">
      <c r="A33" s="27" t="s">
        <v>65</v>
      </c>
      <c r="B33" s="28" t="s">
        <v>66</v>
      </c>
      <c r="C33" s="29"/>
      <c r="D33" s="30"/>
      <c r="E33" s="30"/>
      <c r="AA33">
        <f t="shared" si="4"/>
        <v>0</v>
      </c>
      <c r="AB33">
        <f t="shared" si="5"/>
        <v>0</v>
      </c>
      <c r="AC33">
        <f t="shared" si="6"/>
        <v>0</v>
      </c>
      <c r="AD33">
        <f t="shared" si="7"/>
        <v>0</v>
      </c>
    </row>
    <row r="34" spans="1:32" ht="21.6" thickTop="1" thickBot="1">
      <c r="A34" s="27" t="s">
        <v>67</v>
      </c>
      <c r="B34" s="28" t="s">
        <v>68</v>
      </c>
      <c r="C34" s="29"/>
      <c r="D34" s="30"/>
      <c r="E34" s="30"/>
      <c r="AA34">
        <f t="shared" si="4"/>
        <v>0</v>
      </c>
      <c r="AB34">
        <f t="shared" si="5"/>
        <v>0</v>
      </c>
      <c r="AC34">
        <f t="shared" si="6"/>
        <v>0</v>
      </c>
      <c r="AD34">
        <f t="shared" si="7"/>
        <v>0</v>
      </c>
    </row>
    <row r="35" spans="1:32" ht="21.6" thickTop="1" thickBot="1">
      <c r="A35" s="27" t="s">
        <v>69</v>
      </c>
      <c r="B35" s="28" t="s">
        <v>70</v>
      </c>
      <c r="C35" s="29"/>
      <c r="D35" s="30"/>
      <c r="E35" s="30"/>
      <c r="AA35">
        <f t="shared" si="4"/>
        <v>0</v>
      </c>
      <c r="AB35">
        <f t="shared" si="5"/>
        <v>0</v>
      </c>
      <c r="AC35">
        <f t="shared" si="6"/>
        <v>0</v>
      </c>
      <c r="AD35">
        <f t="shared" si="7"/>
        <v>0</v>
      </c>
    </row>
    <row r="36" spans="1:32" ht="21.6" thickTop="1" thickBot="1">
      <c r="A36" s="27" t="s">
        <v>71</v>
      </c>
      <c r="B36" s="28" t="s">
        <v>72</v>
      </c>
      <c r="C36" s="29"/>
      <c r="D36" s="30"/>
      <c r="E36" s="30"/>
      <c r="AA36">
        <f t="shared" si="4"/>
        <v>0</v>
      </c>
      <c r="AB36">
        <f t="shared" si="5"/>
        <v>0</v>
      </c>
      <c r="AC36">
        <f t="shared" si="6"/>
        <v>0</v>
      </c>
      <c r="AD36">
        <f t="shared" si="7"/>
        <v>0</v>
      </c>
    </row>
    <row r="37" spans="1:32" ht="57.75" customHeight="1" thickTop="1" thickBot="1">
      <c r="A37" s="34" t="s">
        <v>73</v>
      </c>
      <c r="B37" s="35" t="s">
        <v>74</v>
      </c>
      <c r="C37" s="36" t="s">
        <v>75</v>
      </c>
      <c r="D37" s="37"/>
      <c r="E37" s="38" t="str">
        <f>"Quotation: "&amp;ROUND((AE37/AF37)*100,2)&amp;"%"</f>
        <v>Quotation: 0%</v>
      </c>
      <c r="AE37">
        <f>SUM(AA38:AA51)+SUM(AB38:AB51)*0.5</f>
        <v>0</v>
      </c>
      <c r="AF37">
        <f>COUNT(AA38:AA51)-SUM(AD38:AD51)</f>
        <v>14</v>
      </c>
    </row>
    <row r="38" spans="1:32" ht="37.200000000000003" thickTop="1" thickBot="1">
      <c r="A38" s="39" t="s">
        <v>76</v>
      </c>
      <c r="B38" s="40" t="s">
        <v>77</v>
      </c>
      <c r="C38" s="29"/>
      <c r="D38" s="30"/>
      <c r="E38" s="30"/>
      <c r="AA38">
        <f t="shared" ref="AA38:AA51" si="8">IF(C38="Met",1,0)</f>
        <v>0</v>
      </c>
      <c r="AB38">
        <f t="shared" ref="AB38:AB51" si="9">IF(C38="Partially Met",1,0)</f>
        <v>0</v>
      </c>
      <c r="AC38">
        <f t="shared" ref="AC38:AC51" si="10">IF(C38="UnMet",1,0)</f>
        <v>0</v>
      </c>
      <c r="AD38">
        <f t="shared" ref="AD38:AD51" si="11">IF(C38="Not Applicable",1,0)</f>
        <v>0</v>
      </c>
    </row>
    <row r="39" spans="1:32" ht="55.2" thickTop="1" thickBot="1">
      <c r="A39" s="39" t="s">
        <v>78</v>
      </c>
      <c r="B39" s="40" t="s">
        <v>79</v>
      </c>
      <c r="C39" s="29"/>
      <c r="D39" s="30"/>
      <c r="E39" s="30"/>
      <c r="AA39">
        <f t="shared" si="8"/>
        <v>0</v>
      </c>
      <c r="AB39">
        <f t="shared" si="9"/>
        <v>0</v>
      </c>
      <c r="AC39">
        <f t="shared" si="10"/>
        <v>0</v>
      </c>
      <c r="AD39">
        <f t="shared" si="11"/>
        <v>0</v>
      </c>
    </row>
    <row r="40" spans="1:32" ht="37.200000000000003" thickTop="1" thickBot="1">
      <c r="A40" s="39" t="s">
        <v>80</v>
      </c>
      <c r="B40" s="40" t="s">
        <v>81</v>
      </c>
      <c r="C40" s="29"/>
      <c r="D40" s="30"/>
      <c r="E40" s="30"/>
      <c r="AA40">
        <f t="shared" si="8"/>
        <v>0</v>
      </c>
      <c r="AB40">
        <f t="shared" si="9"/>
        <v>0</v>
      </c>
      <c r="AC40">
        <f t="shared" si="10"/>
        <v>0</v>
      </c>
      <c r="AD40">
        <f t="shared" si="11"/>
        <v>0</v>
      </c>
    </row>
    <row r="41" spans="1:32" ht="37.200000000000003" thickTop="1" thickBot="1">
      <c r="A41" s="39" t="s">
        <v>82</v>
      </c>
      <c r="B41" s="40" t="s">
        <v>83</v>
      </c>
      <c r="C41" s="29"/>
      <c r="D41" s="30"/>
      <c r="E41" s="30"/>
      <c r="AA41">
        <f t="shared" si="8"/>
        <v>0</v>
      </c>
      <c r="AB41">
        <f t="shared" si="9"/>
        <v>0</v>
      </c>
      <c r="AC41">
        <f t="shared" si="10"/>
        <v>0</v>
      </c>
      <c r="AD41">
        <f t="shared" si="11"/>
        <v>0</v>
      </c>
    </row>
    <row r="42" spans="1:32" ht="37.200000000000003" thickTop="1" thickBot="1">
      <c r="A42" s="39" t="s">
        <v>84</v>
      </c>
      <c r="B42" s="40" t="s">
        <v>85</v>
      </c>
      <c r="C42" s="29"/>
      <c r="D42" s="30"/>
      <c r="E42" s="30"/>
      <c r="AA42">
        <f t="shared" si="8"/>
        <v>0</v>
      </c>
      <c r="AB42">
        <f t="shared" si="9"/>
        <v>0</v>
      </c>
      <c r="AC42">
        <f t="shared" si="10"/>
        <v>0</v>
      </c>
      <c r="AD42">
        <f t="shared" si="11"/>
        <v>0</v>
      </c>
    </row>
    <row r="43" spans="1:32" ht="21.6" thickTop="1" thickBot="1">
      <c r="A43" s="39" t="s">
        <v>86</v>
      </c>
      <c r="B43" s="40" t="s">
        <v>87</v>
      </c>
      <c r="C43" s="29"/>
      <c r="D43" s="30"/>
      <c r="E43" s="30"/>
      <c r="AA43">
        <f t="shared" si="8"/>
        <v>0</v>
      </c>
      <c r="AB43">
        <f t="shared" si="9"/>
        <v>0</v>
      </c>
      <c r="AC43">
        <f t="shared" si="10"/>
        <v>0</v>
      </c>
      <c r="AD43">
        <f t="shared" si="11"/>
        <v>0</v>
      </c>
    </row>
    <row r="44" spans="1:32" ht="33" customHeight="1" thickTop="1" thickBot="1">
      <c r="A44" s="39" t="s">
        <v>88</v>
      </c>
      <c r="B44" s="40" t="s">
        <v>89</v>
      </c>
      <c r="C44" s="29"/>
      <c r="D44" s="30"/>
      <c r="E44" s="30"/>
      <c r="AA44">
        <f t="shared" si="8"/>
        <v>0</v>
      </c>
      <c r="AB44">
        <f t="shared" si="9"/>
        <v>0</v>
      </c>
      <c r="AC44">
        <f t="shared" si="10"/>
        <v>0</v>
      </c>
      <c r="AD44">
        <f t="shared" si="11"/>
        <v>0</v>
      </c>
    </row>
    <row r="45" spans="1:32" ht="37.200000000000003" thickTop="1" thickBot="1">
      <c r="A45" s="39" t="s">
        <v>90</v>
      </c>
      <c r="B45" s="40" t="s">
        <v>91</v>
      </c>
      <c r="C45" s="29"/>
      <c r="D45" s="30"/>
      <c r="E45" s="30"/>
      <c r="AA45">
        <f t="shared" si="8"/>
        <v>0</v>
      </c>
      <c r="AB45">
        <f t="shared" si="9"/>
        <v>0</v>
      </c>
      <c r="AC45">
        <f t="shared" si="10"/>
        <v>0</v>
      </c>
      <c r="AD45">
        <f t="shared" si="11"/>
        <v>0</v>
      </c>
    </row>
    <row r="46" spans="1:32" ht="21.6" thickTop="1" thickBot="1">
      <c r="A46" s="39" t="s">
        <v>92</v>
      </c>
      <c r="B46" s="40" t="s">
        <v>93</v>
      </c>
      <c r="C46" s="29"/>
      <c r="D46" s="30"/>
      <c r="E46" s="30"/>
      <c r="AA46">
        <f t="shared" si="8"/>
        <v>0</v>
      </c>
      <c r="AB46">
        <f t="shared" si="9"/>
        <v>0</v>
      </c>
      <c r="AC46">
        <f t="shared" si="10"/>
        <v>0</v>
      </c>
      <c r="AD46">
        <f t="shared" si="11"/>
        <v>0</v>
      </c>
    </row>
    <row r="47" spans="1:32" ht="37.200000000000003" thickTop="1" thickBot="1">
      <c r="A47" s="39" t="s">
        <v>94</v>
      </c>
      <c r="B47" s="40" t="s">
        <v>95</v>
      </c>
      <c r="C47" s="29"/>
      <c r="D47" s="30"/>
      <c r="E47" s="30"/>
      <c r="AA47">
        <f t="shared" si="8"/>
        <v>0</v>
      </c>
      <c r="AB47">
        <f t="shared" si="9"/>
        <v>0</v>
      </c>
      <c r="AC47">
        <f t="shared" si="10"/>
        <v>0</v>
      </c>
      <c r="AD47">
        <f t="shared" si="11"/>
        <v>0</v>
      </c>
    </row>
    <row r="48" spans="1:32" ht="37.200000000000003" thickTop="1" thickBot="1">
      <c r="A48" s="39" t="s">
        <v>96</v>
      </c>
      <c r="B48" s="40" t="s">
        <v>95</v>
      </c>
      <c r="C48" s="29"/>
      <c r="D48" s="30"/>
      <c r="E48" s="30"/>
      <c r="AA48">
        <f t="shared" si="8"/>
        <v>0</v>
      </c>
      <c r="AB48">
        <f t="shared" si="9"/>
        <v>0</v>
      </c>
      <c r="AC48">
        <f t="shared" si="10"/>
        <v>0</v>
      </c>
      <c r="AD48">
        <f t="shared" si="11"/>
        <v>0</v>
      </c>
    </row>
    <row r="49" spans="1:30" ht="41.25" customHeight="1" thickTop="1" thickBot="1">
      <c r="A49" s="39" t="s">
        <v>97</v>
      </c>
      <c r="B49" s="40" t="s">
        <v>98</v>
      </c>
      <c r="C49" s="29"/>
      <c r="D49" s="30"/>
      <c r="E49" s="30"/>
      <c r="AA49">
        <f t="shared" si="8"/>
        <v>0</v>
      </c>
      <c r="AB49">
        <f t="shared" si="9"/>
        <v>0</v>
      </c>
      <c r="AC49">
        <f t="shared" si="10"/>
        <v>0</v>
      </c>
      <c r="AD49">
        <f t="shared" si="11"/>
        <v>0</v>
      </c>
    </row>
    <row r="50" spans="1:30" ht="21.6" thickTop="1" thickBot="1">
      <c r="A50" s="39" t="s">
        <v>99</v>
      </c>
      <c r="B50" s="40" t="s">
        <v>100</v>
      </c>
      <c r="C50" s="29"/>
      <c r="D50" s="29"/>
      <c r="E50" s="29"/>
      <c r="AA50">
        <f t="shared" si="8"/>
        <v>0</v>
      </c>
      <c r="AB50">
        <f t="shared" si="9"/>
        <v>0</v>
      </c>
      <c r="AC50">
        <f t="shared" si="10"/>
        <v>0</v>
      </c>
      <c r="AD50">
        <f t="shared" si="11"/>
        <v>0</v>
      </c>
    </row>
    <row r="51" spans="1:30" ht="39" customHeight="1" thickTop="1" thickBot="1">
      <c r="A51" s="39" t="s">
        <v>101</v>
      </c>
      <c r="B51" s="40" t="s">
        <v>102</v>
      </c>
      <c r="C51" s="29"/>
      <c r="D51" s="29"/>
      <c r="E51" s="29"/>
      <c r="AA51">
        <f t="shared" si="8"/>
        <v>0</v>
      </c>
      <c r="AB51">
        <f t="shared" si="9"/>
        <v>0</v>
      </c>
      <c r="AC51">
        <f t="shared" si="10"/>
        <v>0</v>
      </c>
      <c r="AD51">
        <f t="shared" si="11"/>
        <v>0</v>
      </c>
    </row>
    <row r="52" spans="1:30" ht="21.9" customHeight="1" thickTop="1">
      <c r="B52"/>
      <c r="C52" s="41"/>
      <c r="D52" s="41"/>
      <c r="E52" s="41"/>
    </row>
    <row r="53" spans="1:30" ht="27" customHeight="1">
      <c r="B53"/>
      <c r="C53" s="41"/>
      <c r="D53" s="41"/>
      <c r="E53" s="41"/>
    </row>
    <row r="54" spans="1:30" ht="15.6">
      <c r="B54"/>
      <c r="C54" s="41"/>
      <c r="D54" s="41"/>
      <c r="E54" s="41"/>
    </row>
    <row r="55" spans="1:30" ht="15.6">
      <c r="B55"/>
      <c r="C55" s="41"/>
      <c r="D55" s="41"/>
      <c r="E55" s="41"/>
    </row>
    <row r="56" spans="1:30" ht="15.6">
      <c r="B56"/>
      <c r="C56" s="41"/>
      <c r="D56" s="41"/>
      <c r="E56" s="41"/>
    </row>
    <row r="57" spans="1:30" ht="15" customHeight="1">
      <c r="B57"/>
      <c r="C57" s="41"/>
      <c r="D57" s="41"/>
      <c r="E57" s="41"/>
    </row>
    <row r="58" spans="1:30" ht="36" customHeight="1">
      <c r="B58"/>
      <c r="C58" s="41"/>
      <c r="D58" s="41"/>
      <c r="E58" s="41"/>
    </row>
    <row r="59" spans="1:30" ht="15.6">
      <c r="B59"/>
      <c r="C59" s="41"/>
      <c r="D59" s="41"/>
      <c r="E59" s="41"/>
    </row>
    <row r="60" spans="1:30" ht="15.6">
      <c r="B60"/>
      <c r="C60" s="41"/>
      <c r="D60" s="41"/>
      <c r="E60" s="41"/>
    </row>
    <row r="61" spans="1:30" ht="15.6">
      <c r="B61"/>
      <c r="C61" s="41"/>
      <c r="D61" s="41"/>
      <c r="E61" s="41"/>
    </row>
    <row r="62" spans="1:30" ht="15.6">
      <c r="B62"/>
      <c r="C62" s="41"/>
      <c r="D62" s="41"/>
      <c r="E62" s="41"/>
    </row>
    <row r="63" spans="1:30" ht="15.6">
      <c r="B63"/>
      <c r="C63" s="41"/>
      <c r="D63" s="41"/>
      <c r="E63" s="41"/>
    </row>
    <row r="64" spans="1:30" ht="15.6">
      <c r="B64"/>
      <c r="C64" s="41"/>
      <c r="D64" s="41"/>
      <c r="E64" s="41"/>
    </row>
    <row r="65" spans="2:5" ht="15.6">
      <c r="B65"/>
      <c r="C65" s="41"/>
      <c r="D65" s="41"/>
      <c r="E65" s="41"/>
    </row>
    <row r="66" spans="2:5" ht="21.9" customHeight="1">
      <c r="B66"/>
      <c r="C66" s="41"/>
      <c r="D66" s="41"/>
      <c r="E66" s="41"/>
    </row>
    <row r="67" spans="2:5" ht="29.25" customHeight="1">
      <c r="B67"/>
      <c r="C67" s="41"/>
      <c r="D67" s="41"/>
      <c r="E67" s="41"/>
    </row>
    <row r="68" spans="2:5" ht="15.6">
      <c r="B68"/>
      <c r="C68" s="41"/>
      <c r="D68" s="41"/>
      <c r="E68" s="41"/>
    </row>
    <row r="69" spans="2:5" ht="15.6">
      <c r="B69"/>
      <c r="C69" s="41"/>
      <c r="D69" s="41"/>
      <c r="E69" s="41"/>
    </row>
    <row r="70" spans="2:5" ht="15.6">
      <c r="B70"/>
      <c r="C70" s="41"/>
      <c r="D70" s="41"/>
      <c r="E70" s="41"/>
    </row>
    <row r="71" spans="2:5" ht="15.6">
      <c r="B71"/>
      <c r="C71" s="41"/>
      <c r="D71" s="41"/>
      <c r="E71" s="41"/>
    </row>
    <row r="72" spans="2:5" ht="20.25" customHeight="1">
      <c r="B72"/>
      <c r="C72" s="41"/>
      <c r="D72" s="41"/>
      <c r="E72" s="41"/>
    </row>
    <row r="73" spans="2:5" ht="20.25" customHeight="1">
      <c r="B73"/>
      <c r="C73" s="41"/>
      <c r="D73" s="41"/>
      <c r="E73" s="41"/>
    </row>
    <row r="74" spans="2:5" ht="20.25" customHeight="1">
      <c r="B74"/>
      <c r="C74" s="41"/>
      <c r="D74" s="41"/>
      <c r="E74" s="41"/>
    </row>
    <row r="75" spans="2:5" ht="20.25" customHeight="1">
      <c r="B75"/>
      <c r="C75" s="41"/>
      <c r="D75" s="41"/>
      <c r="E75" s="41"/>
    </row>
    <row r="76" spans="2:5" ht="20.25" customHeight="1">
      <c r="B76"/>
      <c r="C76" s="41"/>
      <c r="D76" s="41"/>
      <c r="E76" s="41"/>
    </row>
    <row r="77" spans="2:5" ht="20.25" customHeight="1">
      <c r="B77"/>
      <c r="C77" s="41"/>
      <c r="D77" s="41"/>
      <c r="E77" s="41"/>
    </row>
    <row r="78" spans="2:5" ht="20.25" customHeight="1">
      <c r="B78"/>
      <c r="C78" s="41"/>
      <c r="D78" s="41"/>
      <c r="E78" s="41"/>
    </row>
    <row r="79" spans="2:5" ht="20.25" customHeight="1">
      <c r="B79"/>
      <c r="C79" s="41"/>
      <c r="D79" s="41"/>
      <c r="E79" s="41"/>
    </row>
    <row r="80" spans="2:5" ht="20.25" customHeight="1">
      <c r="B80"/>
      <c r="C80" s="41"/>
      <c r="D80" s="41"/>
      <c r="E80" s="41"/>
    </row>
    <row r="81" spans="2:5" ht="15.6">
      <c r="B81"/>
      <c r="C81" s="41"/>
      <c r="D81" s="41"/>
      <c r="E81" s="41"/>
    </row>
    <row r="82" spans="2:5" ht="15.6">
      <c r="B82"/>
      <c r="C82" s="41"/>
      <c r="D82" s="41"/>
      <c r="E82" s="41"/>
    </row>
    <row r="83" spans="2:5" ht="15.6">
      <c r="B83"/>
      <c r="C83" s="41"/>
      <c r="D83" s="41"/>
      <c r="E83" s="41"/>
    </row>
    <row r="84" spans="2:5" ht="15.6">
      <c r="B84"/>
      <c r="C84" s="41"/>
      <c r="D84" s="41"/>
      <c r="E84" s="41"/>
    </row>
    <row r="85" spans="2:5" ht="15.6">
      <c r="B85"/>
      <c r="C85" s="41"/>
      <c r="D85" s="41"/>
      <c r="E85" s="41"/>
    </row>
    <row r="86" spans="2:5" ht="20.25" customHeight="1">
      <c r="B86"/>
      <c r="C86" s="41"/>
      <c r="D86" s="41"/>
      <c r="E86" s="41"/>
    </row>
    <row r="87" spans="2:5" ht="20.25" customHeight="1">
      <c r="B87"/>
      <c r="C87" s="41"/>
      <c r="D87" s="41"/>
      <c r="E87" s="41"/>
    </row>
    <row r="88" spans="2:5" ht="20.25" customHeight="1">
      <c r="B88"/>
      <c r="C88" s="41"/>
      <c r="D88" s="41"/>
      <c r="E88" s="41"/>
    </row>
    <row r="89" spans="2:5" ht="20.25" customHeight="1">
      <c r="B89"/>
      <c r="C89" s="41"/>
      <c r="D89" s="41"/>
      <c r="E89" s="41"/>
    </row>
    <row r="90" spans="2:5" ht="20.25" customHeight="1">
      <c r="B90"/>
      <c r="C90" s="41"/>
      <c r="D90" s="41"/>
      <c r="E90" s="41"/>
    </row>
    <row r="91" spans="2:5" ht="20.25" customHeight="1">
      <c r="B91"/>
      <c r="C91" s="41"/>
      <c r="D91" s="41"/>
      <c r="E91" s="41"/>
    </row>
    <row r="92" spans="2:5" ht="21.9" customHeight="1">
      <c r="B92"/>
      <c r="C92" s="41"/>
      <c r="D92" s="41"/>
      <c r="E92" s="41"/>
    </row>
    <row r="93" spans="2:5" ht="28.5" customHeight="1">
      <c r="B93"/>
      <c r="C93" s="41"/>
      <c r="D93" s="41"/>
      <c r="E93" s="41"/>
    </row>
    <row r="94" spans="2:5" ht="15.6">
      <c r="B94"/>
      <c r="C94" s="41"/>
      <c r="D94" s="41"/>
      <c r="E94" s="41"/>
    </row>
    <row r="95" spans="2:5" ht="15.6">
      <c r="B95"/>
      <c r="C95" s="41"/>
      <c r="D95" s="41"/>
      <c r="E95" s="41"/>
    </row>
    <row r="96" spans="2:5" ht="15.6">
      <c r="B96"/>
      <c r="C96" s="41"/>
      <c r="D96" s="41"/>
      <c r="E96" s="41"/>
    </row>
    <row r="97" spans="2:5" ht="15.6">
      <c r="B97"/>
      <c r="C97" s="41"/>
      <c r="D97" s="41"/>
      <c r="E97" s="41"/>
    </row>
    <row r="98" spans="2:5" ht="15.6">
      <c r="B98"/>
      <c r="C98" s="41"/>
      <c r="D98" s="41"/>
      <c r="E98" s="41"/>
    </row>
    <row r="99" spans="2:5" ht="15.6">
      <c r="B99"/>
      <c r="C99" s="41"/>
      <c r="D99" s="41"/>
      <c r="E99" s="41"/>
    </row>
    <row r="100" spans="2:5" ht="15.6">
      <c r="B100"/>
      <c r="C100" s="41"/>
      <c r="D100" s="41"/>
      <c r="E100" s="41"/>
    </row>
    <row r="101" spans="2:5" ht="15.6">
      <c r="B101"/>
      <c r="C101" s="41"/>
      <c r="D101" s="41"/>
      <c r="E101" s="41"/>
    </row>
    <row r="102" spans="2:5" ht="15.6">
      <c r="B102"/>
      <c r="C102" s="41"/>
      <c r="D102" s="41"/>
      <c r="E102" s="41"/>
    </row>
    <row r="103" spans="2:5" ht="21.9" customHeight="1">
      <c r="B103"/>
      <c r="C103" s="41"/>
      <c r="D103" s="41"/>
      <c r="E103" s="41"/>
    </row>
    <row r="104" spans="2:5" ht="12" customHeight="1">
      <c r="B104"/>
      <c r="C104" s="41"/>
      <c r="D104" s="41"/>
      <c r="E104" s="41"/>
    </row>
    <row r="105" spans="2:5" ht="22.5" hidden="1" customHeight="1">
      <c r="B105"/>
      <c r="C105" s="41"/>
      <c r="D105" s="41"/>
      <c r="E105" s="41"/>
    </row>
    <row r="106" spans="2:5" ht="15.6">
      <c r="B106"/>
      <c r="C106" s="41"/>
      <c r="D106" s="41"/>
      <c r="E106" s="41"/>
    </row>
    <row r="107" spans="2:5" ht="15.6">
      <c r="B107"/>
      <c r="C107" s="41"/>
      <c r="D107" s="41"/>
      <c r="E107" s="41"/>
    </row>
    <row r="108" spans="2:5" ht="15.6">
      <c r="B108"/>
      <c r="C108" s="41"/>
      <c r="D108" s="41"/>
      <c r="E108" s="41"/>
    </row>
    <row r="109" spans="2:5" ht="15.6">
      <c r="B109"/>
      <c r="C109" s="41"/>
      <c r="D109" s="41"/>
      <c r="E109" s="41"/>
    </row>
    <row r="110" spans="2:5" ht="15.6">
      <c r="B110"/>
      <c r="C110" s="41"/>
      <c r="D110" s="41"/>
      <c r="E110" s="41"/>
    </row>
    <row r="111" spans="2:5" ht="15.6">
      <c r="B111"/>
      <c r="C111" s="41"/>
      <c r="D111" s="41"/>
      <c r="E111" s="41"/>
    </row>
    <row r="112" spans="2:5" ht="15.6">
      <c r="B112"/>
      <c r="C112" s="41"/>
      <c r="D112" s="41"/>
      <c r="E112" s="41"/>
    </row>
    <row r="113" spans="2:5" ht="15.6">
      <c r="B113"/>
      <c r="C113" s="41"/>
      <c r="D113" s="41"/>
      <c r="E113" s="41"/>
    </row>
    <row r="114" spans="2:5" ht="15.6">
      <c r="B114"/>
      <c r="C114" s="41"/>
      <c r="D114" s="41"/>
      <c r="E114" s="41"/>
    </row>
    <row r="115" spans="2:5" ht="15.6">
      <c r="B115"/>
      <c r="C115" s="41"/>
      <c r="D115" s="41"/>
      <c r="E115" s="41"/>
    </row>
    <row r="116" spans="2:5" ht="38.1" customHeight="1">
      <c r="B116"/>
      <c r="C116" s="41"/>
      <c r="D116" s="41"/>
      <c r="E116" s="41"/>
    </row>
    <row r="117" spans="2:5" ht="12.75" customHeight="1">
      <c r="B117"/>
      <c r="C117" s="41"/>
      <c r="D117" s="41"/>
      <c r="E117" s="41"/>
    </row>
    <row r="118" spans="2:5" ht="19.5" hidden="1" customHeight="1">
      <c r="B118"/>
      <c r="C118" s="41"/>
      <c r="D118" s="41"/>
      <c r="E118" s="41"/>
    </row>
    <row r="119" spans="2:5" ht="15.6">
      <c r="B119"/>
      <c r="C119" s="41"/>
      <c r="D119" s="41"/>
      <c r="E119" s="41"/>
    </row>
    <row r="120" spans="2:5" ht="15.6">
      <c r="B120"/>
      <c r="C120" s="41"/>
      <c r="D120" s="41"/>
      <c r="E120" s="41"/>
    </row>
    <row r="121" spans="2:5" ht="15.6">
      <c r="B121"/>
      <c r="C121" s="41"/>
      <c r="D121" s="41"/>
      <c r="E121" s="41"/>
    </row>
    <row r="122" spans="2:5" ht="15.6">
      <c r="B122"/>
      <c r="C122" s="41"/>
      <c r="D122" s="41"/>
      <c r="E122" s="41"/>
    </row>
    <row r="123" spans="2:5" ht="15.6">
      <c r="B123"/>
      <c r="C123" s="41"/>
      <c r="D123" s="41"/>
      <c r="E123" s="41"/>
    </row>
    <row r="124" spans="2:5" ht="15.6">
      <c r="B124"/>
      <c r="C124" s="41"/>
      <c r="D124" s="41"/>
      <c r="E124" s="41"/>
    </row>
    <row r="125" spans="2:5" ht="15.6">
      <c r="B125"/>
      <c r="C125" s="41"/>
      <c r="D125" s="41"/>
      <c r="E125" s="41"/>
    </row>
    <row r="126" spans="2:5" ht="15.6">
      <c r="B126"/>
      <c r="C126" s="41"/>
      <c r="D126" s="41"/>
      <c r="E126" s="41"/>
    </row>
    <row r="127" spans="2:5" ht="15.6">
      <c r="B127"/>
      <c r="C127" s="41"/>
      <c r="D127" s="41"/>
      <c r="E127" s="41"/>
    </row>
    <row r="128" spans="2:5" ht="15.6">
      <c r="B128"/>
      <c r="C128" s="41"/>
      <c r="D128" s="41"/>
      <c r="E128" s="41"/>
    </row>
    <row r="129" spans="2:5" ht="15.6">
      <c r="B129"/>
      <c r="C129" s="41"/>
      <c r="D129" s="41"/>
      <c r="E129" s="41"/>
    </row>
    <row r="130" spans="2:5" ht="15.6">
      <c r="B130"/>
      <c r="C130" s="41"/>
      <c r="D130" s="41"/>
      <c r="E130" s="41"/>
    </row>
    <row r="131" spans="2:5" ht="21.9" customHeight="1">
      <c r="B131"/>
      <c r="C131" s="41"/>
      <c r="D131" s="41"/>
      <c r="E131" s="41"/>
    </row>
    <row r="132" spans="2:5" ht="30.75" customHeight="1">
      <c r="B132"/>
      <c r="C132" s="41"/>
      <c r="D132" s="41"/>
      <c r="E132" s="41"/>
    </row>
    <row r="133" spans="2:5" ht="15.6">
      <c r="B133"/>
      <c r="C133" s="41"/>
      <c r="D133" s="41"/>
      <c r="E133" s="41"/>
    </row>
    <row r="134" spans="2:5" ht="15.6">
      <c r="B134"/>
      <c r="C134" s="41"/>
      <c r="D134" s="41"/>
      <c r="E134" s="41"/>
    </row>
    <row r="135" spans="2:5" ht="15.6">
      <c r="B135"/>
      <c r="C135" s="41"/>
      <c r="D135" s="41"/>
      <c r="E135" s="41"/>
    </row>
    <row r="136" spans="2:5" ht="15.6">
      <c r="B136"/>
      <c r="C136" s="41"/>
      <c r="D136" s="41"/>
      <c r="E136" s="41"/>
    </row>
    <row r="137" spans="2:5" ht="21.9" customHeight="1">
      <c r="B137"/>
      <c r="C137" s="41"/>
      <c r="D137" s="41"/>
      <c r="E137" s="41"/>
    </row>
    <row r="138" spans="2:5" ht="24" customHeight="1">
      <c r="B138"/>
      <c r="C138" s="41"/>
      <c r="D138" s="41"/>
      <c r="E138" s="41"/>
    </row>
    <row r="139" spans="2:5" ht="15.6">
      <c r="B139"/>
      <c r="C139" s="41"/>
      <c r="D139" s="41"/>
      <c r="E139" s="41"/>
    </row>
    <row r="140" spans="2:5" ht="15.6">
      <c r="B140"/>
      <c r="C140" s="41"/>
      <c r="D140" s="41"/>
      <c r="E140" s="41"/>
    </row>
    <row r="141" spans="2:5" ht="15.6">
      <c r="B141"/>
      <c r="C141" s="41"/>
      <c r="D141" s="41"/>
      <c r="E141" s="41"/>
    </row>
    <row r="142" spans="2:5" ht="21.9" customHeight="1">
      <c r="B142"/>
      <c r="C142" s="41"/>
      <c r="D142" s="41"/>
      <c r="E142" s="41"/>
    </row>
    <row r="143" spans="2:5" ht="19.5" customHeight="1">
      <c r="B143"/>
      <c r="C143" s="41"/>
      <c r="D143" s="41"/>
      <c r="E143" s="41"/>
    </row>
    <row r="144" spans="2:5" ht="15.6">
      <c r="B144"/>
      <c r="C144" s="41"/>
      <c r="D144" s="41"/>
      <c r="E144" s="41"/>
    </row>
    <row r="145" spans="2:5" ht="15.6">
      <c r="B145"/>
      <c r="C145" s="41"/>
      <c r="D145" s="41"/>
      <c r="E145" s="41"/>
    </row>
    <row r="146" spans="2:5" ht="15.6">
      <c r="B146"/>
      <c r="C146" s="41"/>
      <c r="D146" s="41"/>
      <c r="E146" s="41"/>
    </row>
    <row r="147" spans="2:5" ht="15.6">
      <c r="B147"/>
      <c r="C147" s="41"/>
      <c r="D147" s="41"/>
      <c r="E147" s="41"/>
    </row>
    <row r="148" spans="2:5" ht="21.9" customHeight="1">
      <c r="B148"/>
      <c r="C148" s="41"/>
      <c r="D148" s="41"/>
      <c r="E148" s="41"/>
    </row>
    <row r="149" spans="2:5" ht="17.25" customHeight="1">
      <c r="B149"/>
      <c r="C149" s="41"/>
      <c r="D149" s="41"/>
      <c r="E149" s="41"/>
    </row>
    <row r="150" spans="2:5" ht="15.6">
      <c r="B150"/>
      <c r="C150" s="41"/>
      <c r="D150" s="41"/>
      <c r="E150" s="41"/>
    </row>
    <row r="151" spans="2:5" ht="15.6">
      <c r="B151"/>
      <c r="C151" s="41"/>
      <c r="D151" s="41"/>
      <c r="E151" s="41"/>
    </row>
    <row r="152" spans="2:5" ht="15.6">
      <c r="B152"/>
      <c r="C152" s="41"/>
      <c r="D152" s="41"/>
      <c r="E152" s="41"/>
    </row>
    <row r="153" spans="2:5" ht="15.6">
      <c r="B153"/>
      <c r="C153" s="41"/>
      <c r="D153" s="41"/>
      <c r="E153" s="41"/>
    </row>
    <row r="154" spans="2:5" ht="15.6">
      <c r="B154"/>
      <c r="C154" s="41"/>
      <c r="D154" s="41"/>
      <c r="E154" s="41"/>
    </row>
    <row r="155" spans="2:5" ht="15.6">
      <c r="B155"/>
      <c r="C155" s="41"/>
      <c r="D155" s="41"/>
      <c r="E155" s="41"/>
    </row>
    <row r="156" spans="2:5" ht="15.6">
      <c r="B156"/>
      <c r="C156" s="41"/>
      <c r="D156" s="41"/>
      <c r="E156" s="41"/>
    </row>
    <row r="157" spans="2:5" ht="15.6">
      <c r="B157"/>
      <c r="C157" s="41"/>
      <c r="D157" s="41"/>
      <c r="E157" s="41"/>
    </row>
    <row r="158" spans="2:5" ht="15.6">
      <c r="B158"/>
      <c r="C158" s="41"/>
      <c r="D158" s="41"/>
      <c r="E158" s="41"/>
    </row>
    <row r="159" spans="2:5" ht="15.6">
      <c r="B159"/>
      <c r="C159" s="41"/>
      <c r="D159" s="41"/>
      <c r="E159" s="41"/>
    </row>
    <row r="160" spans="2:5" ht="15" customHeight="1">
      <c r="B160"/>
      <c r="C160" s="41"/>
      <c r="D160" s="41"/>
      <c r="E160" s="41"/>
    </row>
    <row r="161" spans="2:5" ht="30.9" customHeight="1">
      <c r="B161"/>
      <c r="C161" s="41"/>
      <c r="D161" s="41"/>
      <c r="E161" s="41"/>
    </row>
    <row r="162" spans="2:5" ht="15.6">
      <c r="B162"/>
      <c r="C162" s="41"/>
      <c r="D162" s="41"/>
      <c r="E162" s="41"/>
    </row>
    <row r="163" spans="2:5" ht="15.6">
      <c r="B163"/>
      <c r="C163" s="41"/>
      <c r="D163" s="41"/>
      <c r="E163" s="41"/>
    </row>
    <row r="164" spans="2:5" ht="15.6">
      <c r="B164"/>
      <c r="C164" s="41"/>
      <c r="D164" s="41"/>
      <c r="E164" s="41"/>
    </row>
    <row r="165" spans="2:5" ht="15.6">
      <c r="B165"/>
      <c r="C165" s="41"/>
      <c r="D165" s="41"/>
      <c r="E165" s="41"/>
    </row>
    <row r="166" spans="2:5" ht="15" customHeight="1">
      <c r="B166"/>
      <c r="C166" s="41"/>
      <c r="D166" s="41"/>
      <c r="E166" s="41"/>
    </row>
    <row r="167" spans="2:5" ht="27.9" customHeight="1">
      <c r="B167"/>
      <c r="C167" s="41"/>
      <c r="D167" s="41"/>
      <c r="E167" s="41"/>
    </row>
    <row r="168" spans="2:5" ht="15.6">
      <c r="B168"/>
      <c r="C168" s="41"/>
      <c r="D168" s="41"/>
      <c r="E168" s="41"/>
    </row>
    <row r="169" spans="2:5" ht="20.25" customHeight="1">
      <c r="B169"/>
      <c r="C169" s="41"/>
      <c r="D169" s="41"/>
      <c r="E169" s="41"/>
    </row>
    <row r="170" spans="2:5" ht="20.25" customHeight="1">
      <c r="B170"/>
      <c r="C170" s="41"/>
      <c r="D170" s="41"/>
      <c r="E170" s="41"/>
    </row>
    <row r="171" spans="2:5" ht="15.6">
      <c r="B171"/>
      <c r="C171" s="41"/>
      <c r="D171" s="41"/>
      <c r="E171" s="41"/>
    </row>
    <row r="172" spans="2:5" ht="15.6">
      <c r="B172"/>
      <c r="C172" s="41"/>
      <c r="D172" s="41"/>
      <c r="E172" s="41"/>
    </row>
  </sheetData>
  <sheetProtection algorithmName="SHA-512" hashValue="dUIbj5eD63NGLQPiPGDBTE5Z6dqEaKh4DJKBUXKqw9bPaM20z2njvIxYktVg/RC9YaK4Ial2zxg1yx5zLgVMSQ==" saltValue="Oj29H8MuP26dOYkJHhKmUg==" spinCount="100000" sheet="1" objects="1" scenarios="1"/>
  <mergeCells count="10">
    <mergeCell ref="C13:D13"/>
    <mergeCell ref="C24:D24"/>
    <mergeCell ref="C28:D28"/>
    <mergeCell ref="C37:D37"/>
    <mergeCell ref="A1:E1"/>
    <mergeCell ref="A2:E2"/>
    <mergeCell ref="A3:E3"/>
    <mergeCell ref="C4:E4"/>
    <mergeCell ref="A6:E6"/>
    <mergeCell ref="C7:D7"/>
  </mergeCells>
  <dataValidations count="2">
    <dataValidation type="list" showInputMessage="1" showErrorMessage="1" sqref="C38:C51">
      <formula1>"Met,UnMet,Not Applicable"</formula1>
    </dataValidation>
    <dataValidation type="list" showInputMessage="1" showErrorMessage="1" sqref="C8:C12 C14:C23 C25:C27 C29:C36">
      <formula1>"Met,Partially Met,UnMet,Not Applicable"</formula1>
    </dataValidation>
  </dataValidations>
  <pageMargins left="0.74803149606299202" right="0.74803149606299202" top="0.98425196850393704" bottom="0.98425196850393704" header="0.511811023622047" footer="0.511811023622047"/>
  <pageSetup scale="39" orientation="landscape"/>
  <rowBreaks count="3" manualBreakCount="3">
    <brk id="23" max="8" man="1"/>
    <brk id="36" max="5" man="1"/>
    <brk id="52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SMCS.3</vt:lpstr>
      <vt:lpstr>SMCS.3!_Toc110754243</vt:lpstr>
      <vt:lpstr>SMCS.3!_Toc87295143</vt:lpstr>
      <vt:lpstr>SMCS.3!Print_Area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 Musa</dc:creator>
  <cp:lastModifiedBy>Ashraf Musa</cp:lastModifiedBy>
  <dcterms:created xsi:type="dcterms:W3CDTF">2025-08-22T13:37:51Z</dcterms:created>
  <dcterms:modified xsi:type="dcterms:W3CDTF">2025-08-22T13:37:51Z</dcterms:modified>
</cp:coreProperties>
</file>