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SAMEH\Downloads\"/>
    </mc:Choice>
  </mc:AlternateContent>
  <bookViews>
    <workbookView xWindow="0" yWindow="0" windowWidth="23040" windowHeight="8784"/>
  </bookViews>
  <sheets>
    <sheet name="SMCS.1" sheetId="1" r:id="rId1"/>
  </sheets>
  <definedNames>
    <definedName name="_Toc87294424" localSheetId="0">SMCS.1!#REF!</definedName>
    <definedName name="_Toc87294425" localSheetId="0">SMCS.1!$C$5</definedName>
    <definedName name="_Toc87294427" localSheetId="0">SMCS.1!$B$7</definedName>
    <definedName name="_Toc87295133" localSheetId="0">SMCS.1!#REF!</definedName>
    <definedName name="_xlnm.Print_Area" localSheetId="0">SMCS.1!$A$1:$H$156</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D154" i="1" l="1"/>
  <c r="AC154" i="1"/>
  <c r="AB154" i="1"/>
  <c r="AA154" i="1"/>
  <c r="AD153" i="1"/>
  <c r="AC153" i="1"/>
  <c r="AB153" i="1"/>
  <c r="AA153" i="1"/>
  <c r="AD152" i="1"/>
  <c r="AC152" i="1"/>
  <c r="AB152" i="1"/>
  <c r="AA152" i="1"/>
  <c r="AD151" i="1"/>
  <c r="AC151" i="1"/>
  <c r="AB151" i="1"/>
  <c r="AA151" i="1"/>
  <c r="AD150" i="1"/>
  <c r="AC150" i="1"/>
  <c r="AB150" i="1"/>
  <c r="AA150" i="1"/>
  <c r="AE149" i="1" s="1"/>
  <c r="E149" i="1" s="1"/>
  <c r="AF149" i="1"/>
  <c r="AD148" i="1"/>
  <c r="AC148" i="1"/>
  <c r="AB148" i="1"/>
  <c r="AA148" i="1"/>
  <c r="AD147" i="1"/>
  <c r="AC147" i="1"/>
  <c r="AB147" i="1"/>
  <c r="AA147" i="1"/>
  <c r="AD146" i="1"/>
  <c r="AC146" i="1"/>
  <c r="AB146" i="1"/>
  <c r="AA146" i="1"/>
  <c r="AD145" i="1"/>
  <c r="AC145" i="1"/>
  <c r="AB145" i="1"/>
  <c r="AA145" i="1"/>
  <c r="AD144" i="1"/>
  <c r="AC144" i="1"/>
  <c r="AB144" i="1"/>
  <c r="AA144" i="1"/>
  <c r="AF143" i="1"/>
  <c r="AE143" i="1"/>
  <c r="E143" i="1" s="1"/>
  <c r="AD142" i="1"/>
  <c r="AC142" i="1"/>
  <c r="AB142" i="1"/>
  <c r="AA142" i="1"/>
  <c r="AD141" i="1"/>
  <c r="AC141" i="1"/>
  <c r="AB141" i="1"/>
  <c r="AA141" i="1"/>
  <c r="AD140" i="1"/>
  <c r="AC140" i="1"/>
  <c r="AB140" i="1"/>
  <c r="AA140" i="1"/>
  <c r="AD139" i="1"/>
  <c r="AC139" i="1"/>
  <c r="AB139" i="1"/>
  <c r="AA139" i="1"/>
  <c r="AD138" i="1"/>
  <c r="AC138" i="1"/>
  <c r="AB138" i="1"/>
  <c r="AA138" i="1"/>
  <c r="AD137" i="1"/>
  <c r="AC137" i="1"/>
  <c r="AB137" i="1"/>
  <c r="AE135" i="1" s="1"/>
  <c r="E135" i="1" s="1"/>
  <c r="AA137" i="1"/>
  <c r="AD136" i="1"/>
  <c r="AC136" i="1"/>
  <c r="AB136" i="1"/>
  <c r="AA136" i="1"/>
  <c r="AF135" i="1"/>
  <c r="AD134" i="1"/>
  <c r="AC134" i="1"/>
  <c r="AB134" i="1"/>
  <c r="AA134" i="1"/>
  <c r="AD133" i="1"/>
  <c r="AC133" i="1"/>
  <c r="AB133" i="1"/>
  <c r="AA133" i="1"/>
  <c r="AD132" i="1"/>
  <c r="AC132" i="1"/>
  <c r="AB132" i="1"/>
  <c r="AA132" i="1"/>
  <c r="AD131" i="1"/>
  <c r="AC131" i="1"/>
  <c r="AB131" i="1"/>
  <c r="AA131" i="1"/>
  <c r="AD130" i="1"/>
  <c r="AC130" i="1"/>
  <c r="AB130" i="1"/>
  <c r="AA130" i="1"/>
  <c r="AD129" i="1"/>
  <c r="AC129" i="1"/>
  <c r="AB129" i="1"/>
  <c r="AA129" i="1"/>
  <c r="AD128" i="1"/>
  <c r="AC128" i="1"/>
  <c r="AB128" i="1"/>
  <c r="AA128" i="1"/>
  <c r="AD127" i="1"/>
  <c r="AC127" i="1"/>
  <c r="AB127" i="1"/>
  <c r="AA127" i="1"/>
  <c r="AF126" i="1" s="1"/>
  <c r="AD125" i="1"/>
  <c r="AC125" i="1"/>
  <c r="AB125" i="1"/>
  <c r="AA125" i="1"/>
  <c r="AD124" i="1"/>
  <c r="AC124" i="1"/>
  <c r="AB124" i="1"/>
  <c r="AA124" i="1"/>
  <c r="AD123" i="1"/>
  <c r="AC123" i="1"/>
  <c r="AB123" i="1"/>
  <c r="AA123" i="1"/>
  <c r="AD122" i="1"/>
  <c r="AC122" i="1"/>
  <c r="AB122" i="1"/>
  <c r="AA122" i="1"/>
  <c r="AD121" i="1"/>
  <c r="AC121" i="1"/>
  <c r="AB121" i="1"/>
  <c r="AA121" i="1"/>
  <c r="AD120" i="1"/>
  <c r="AC120" i="1"/>
  <c r="AB120" i="1"/>
  <c r="AA120" i="1"/>
  <c r="AD119" i="1"/>
  <c r="AC119" i="1"/>
  <c r="AB119" i="1"/>
  <c r="AA119" i="1"/>
  <c r="AD118" i="1"/>
  <c r="AC118" i="1"/>
  <c r="AB118" i="1"/>
  <c r="AA118" i="1"/>
  <c r="AD117" i="1"/>
  <c r="AC117" i="1"/>
  <c r="AB117" i="1"/>
  <c r="AA117" i="1"/>
  <c r="AD116" i="1"/>
  <c r="AC116" i="1"/>
  <c r="AB116" i="1"/>
  <c r="AA116" i="1"/>
  <c r="AE115" i="1" s="1"/>
  <c r="E115" i="1" s="1"/>
  <c r="AF115" i="1"/>
  <c r="AD114" i="1"/>
  <c r="AC114" i="1"/>
  <c r="AB114" i="1"/>
  <c r="AA114" i="1"/>
  <c r="AD113" i="1"/>
  <c r="AC113" i="1"/>
  <c r="AB113" i="1"/>
  <c r="AA113" i="1"/>
  <c r="AE111" i="1" s="1"/>
  <c r="AD112" i="1"/>
  <c r="AC112" i="1"/>
  <c r="AB112" i="1"/>
  <c r="AA112" i="1"/>
  <c r="AD110" i="1"/>
  <c r="AC110" i="1"/>
  <c r="AB110" i="1"/>
  <c r="AA110" i="1"/>
  <c r="AD109" i="1"/>
  <c r="AC109" i="1"/>
  <c r="AB109" i="1"/>
  <c r="AA109" i="1"/>
  <c r="AD108" i="1"/>
  <c r="AC108" i="1"/>
  <c r="AB108" i="1"/>
  <c r="AA108" i="1"/>
  <c r="AD107" i="1"/>
  <c r="AC107" i="1"/>
  <c r="AB107" i="1"/>
  <c r="AA107" i="1"/>
  <c r="AD106" i="1"/>
  <c r="AC106" i="1"/>
  <c r="AB106" i="1"/>
  <c r="AA106" i="1"/>
  <c r="AD105" i="1"/>
  <c r="AC105" i="1"/>
  <c r="AB105" i="1"/>
  <c r="AA105" i="1"/>
  <c r="AD104" i="1"/>
  <c r="AC104" i="1"/>
  <c r="AB104" i="1"/>
  <c r="AA104" i="1"/>
  <c r="AD103" i="1"/>
  <c r="AC103" i="1"/>
  <c r="AB103" i="1"/>
  <c r="AE101" i="1" s="1"/>
  <c r="E101" i="1" s="1"/>
  <c r="AA103" i="1"/>
  <c r="AF101" i="1"/>
  <c r="AD100" i="1"/>
  <c r="AC100" i="1"/>
  <c r="AB100" i="1"/>
  <c r="AA100" i="1"/>
  <c r="AD99" i="1"/>
  <c r="AC99" i="1"/>
  <c r="AB99" i="1"/>
  <c r="AA99" i="1"/>
  <c r="AD98" i="1"/>
  <c r="AC98" i="1"/>
  <c r="AB98" i="1"/>
  <c r="AA98" i="1"/>
  <c r="AD97" i="1"/>
  <c r="AC97" i="1"/>
  <c r="AB97" i="1"/>
  <c r="AA97" i="1"/>
  <c r="AD96" i="1"/>
  <c r="AC96" i="1"/>
  <c r="AB96" i="1"/>
  <c r="AA96" i="1"/>
  <c r="AD95" i="1"/>
  <c r="AC95" i="1"/>
  <c r="AB95" i="1"/>
  <c r="AA95" i="1"/>
  <c r="AD94" i="1"/>
  <c r="AC94" i="1"/>
  <c r="AB94" i="1"/>
  <c r="AA94" i="1"/>
  <c r="AF93" i="1" s="1"/>
  <c r="AE93" i="1"/>
  <c r="E93" i="1" s="1"/>
  <c r="AD92" i="1"/>
  <c r="AC92" i="1"/>
  <c r="AB92" i="1"/>
  <c r="AA92" i="1"/>
  <c r="AD91" i="1"/>
  <c r="AC91" i="1"/>
  <c r="AB91" i="1"/>
  <c r="AA91" i="1"/>
  <c r="AD90" i="1"/>
  <c r="AC90" i="1"/>
  <c r="AB90" i="1"/>
  <c r="AA90" i="1"/>
  <c r="AD89" i="1"/>
  <c r="AC89" i="1"/>
  <c r="AB89" i="1"/>
  <c r="AA89" i="1"/>
  <c r="AD88" i="1"/>
  <c r="AC88" i="1"/>
  <c r="AB88" i="1"/>
  <c r="AA88" i="1"/>
  <c r="AD87" i="1"/>
  <c r="AC87" i="1"/>
  <c r="AB87" i="1"/>
  <c r="AA87" i="1"/>
  <c r="AD86" i="1"/>
  <c r="AC86" i="1"/>
  <c r="AB86" i="1"/>
  <c r="AA86" i="1"/>
  <c r="AD85" i="1"/>
  <c r="AC85" i="1"/>
  <c r="AB85" i="1"/>
  <c r="AA85" i="1"/>
  <c r="AD84" i="1"/>
  <c r="AC84" i="1"/>
  <c r="AB84" i="1"/>
  <c r="AA84" i="1"/>
  <c r="AD83" i="1"/>
  <c r="AC83" i="1"/>
  <c r="AB83" i="1"/>
  <c r="AA83" i="1"/>
  <c r="AD82" i="1"/>
  <c r="AC82" i="1"/>
  <c r="AB82" i="1"/>
  <c r="AA82" i="1"/>
  <c r="AD81" i="1"/>
  <c r="AC81" i="1"/>
  <c r="AB81" i="1"/>
  <c r="AA81" i="1"/>
  <c r="AD80" i="1"/>
  <c r="AC80" i="1"/>
  <c r="AB80" i="1"/>
  <c r="AA80" i="1"/>
  <c r="AD79" i="1"/>
  <c r="AC79" i="1"/>
  <c r="AB79" i="1"/>
  <c r="AA79" i="1"/>
  <c r="AD77" i="1"/>
  <c r="AC77" i="1"/>
  <c r="AB77" i="1"/>
  <c r="AA77" i="1"/>
  <c r="AE76" i="1" s="1"/>
  <c r="E76" i="1" s="1"/>
  <c r="AF76" i="1"/>
  <c r="AD75" i="1"/>
  <c r="AC75" i="1"/>
  <c r="AB75" i="1"/>
  <c r="AA75" i="1"/>
  <c r="AD74" i="1"/>
  <c r="AC74" i="1"/>
  <c r="AB74" i="1"/>
  <c r="AA74" i="1"/>
  <c r="AD73" i="1"/>
  <c r="AC73" i="1"/>
  <c r="AB73" i="1"/>
  <c r="AA73" i="1"/>
  <c r="AD72" i="1"/>
  <c r="AC72" i="1"/>
  <c r="AB72" i="1"/>
  <c r="AA72" i="1"/>
  <c r="AD71" i="1"/>
  <c r="AC71" i="1"/>
  <c r="AB71" i="1"/>
  <c r="AA71" i="1"/>
  <c r="AD70" i="1"/>
  <c r="AC70" i="1"/>
  <c r="AB70" i="1"/>
  <c r="AA70" i="1"/>
  <c r="AD69" i="1"/>
  <c r="AC69" i="1"/>
  <c r="AB69" i="1"/>
  <c r="AA69" i="1"/>
  <c r="AD68" i="1"/>
  <c r="AC68" i="1"/>
  <c r="AB68" i="1"/>
  <c r="AA68" i="1"/>
  <c r="AF66" i="1" s="1"/>
  <c r="AD65" i="1"/>
  <c r="AC65" i="1"/>
  <c r="AB65" i="1"/>
  <c r="AA65" i="1"/>
  <c r="AD64" i="1"/>
  <c r="AC64" i="1"/>
  <c r="AB64" i="1"/>
  <c r="AA64" i="1"/>
  <c r="AD63" i="1"/>
  <c r="AC63" i="1"/>
  <c r="AB63" i="1"/>
  <c r="AE61" i="1" s="1"/>
  <c r="E61" i="1" s="1"/>
  <c r="AA63" i="1"/>
  <c r="AD62" i="1"/>
  <c r="AF61" i="1" s="1"/>
  <c r="AC62" i="1"/>
  <c r="AB62" i="1"/>
  <c r="AA62" i="1"/>
  <c r="AD60" i="1"/>
  <c r="AC60" i="1"/>
  <c r="AB60" i="1"/>
  <c r="AA60" i="1"/>
  <c r="AD59" i="1"/>
  <c r="AC59" i="1"/>
  <c r="AB59" i="1"/>
  <c r="AA59" i="1"/>
  <c r="AD58" i="1"/>
  <c r="AC58" i="1"/>
  <c r="AB58" i="1"/>
  <c r="AA58" i="1"/>
  <c r="AD57" i="1"/>
  <c r="AC57" i="1"/>
  <c r="AB57" i="1"/>
  <c r="AA57" i="1"/>
  <c r="AD56" i="1"/>
  <c r="AC56" i="1"/>
  <c r="AB56" i="1"/>
  <c r="AA56" i="1"/>
  <c r="AD55" i="1"/>
  <c r="AC55" i="1"/>
  <c r="AB55" i="1"/>
  <c r="AA55" i="1"/>
  <c r="AD54" i="1"/>
  <c r="AC54" i="1"/>
  <c r="AB54" i="1"/>
  <c r="AA54" i="1"/>
  <c r="AD53" i="1"/>
  <c r="AC53" i="1"/>
  <c r="AB53" i="1"/>
  <c r="AA53" i="1"/>
  <c r="AD51" i="1"/>
  <c r="AC51" i="1"/>
  <c r="AB51" i="1"/>
  <c r="AA51" i="1"/>
  <c r="AD50" i="1"/>
  <c r="AC50" i="1"/>
  <c r="AB50" i="1"/>
  <c r="AA50" i="1"/>
  <c r="AD49" i="1"/>
  <c r="AC49" i="1"/>
  <c r="AB49" i="1"/>
  <c r="AA49" i="1"/>
  <c r="AD48" i="1"/>
  <c r="AC48" i="1"/>
  <c r="AB48" i="1"/>
  <c r="AA48" i="1"/>
  <c r="AD47" i="1"/>
  <c r="AC47" i="1"/>
  <c r="AB47" i="1"/>
  <c r="AA47" i="1"/>
  <c r="AD46" i="1"/>
  <c r="AC46" i="1"/>
  <c r="AB46" i="1"/>
  <c r="AA46" i="1"/>
  <c r="AD45" i="1"/>
  <c r="AC45" i="1"/>
  <c r="AB45" i="1"/>
  <c r="AA45" i="1"/>
  <c r="AD44" i="1"/>
  <c r="AC44" i="1"/>
  <c r="AB44" i="1"/>
  <c r="AA44" i="1"/>
  <c r="AF42" i="1" s="1"/>
  <c r="AE42" i="1"/>
  <c r="AD41" i="1"/>
  <c r="AC41" i="1"/>
  <c r="AB41" i="1"/>
  <c r="AA41" i="1"/>
  <c r="AD40" i="1"/>
  <c r="AC40" i="1"/>
  <c r="AB40" i="1"/>
  <c r="AA40" i="1"/>
  <c r="AD39" i="1"/>
  <c r="AC39" i="1"/>
  <c r="AB39" i="1"/>
  <c r="AA39" i="1"/>
  <c r="AD38" i="1"/>
  <c r="AC38" i="1"/>
  <c r="AB38" i="1"/>
  <c r="AA38" i="1"/>
  <c r="AD37" i="1"/>
  <c r="AC37" i="1"/>
  <c r="AB37" i="1"/>
  <c r="AA37" i="1"/>
  <c r="AF35" i="1" s="1"/>
  <c r="AD36" i="1"/>
  <c r="AC36" i="1"/>
  <c r="AB36" i="1"/>
  <c r="AA36" i="1"/>
  <c r="AE35" i="1" s="1"/>
  <c r="AD34" i="1"/>
  <c r="AC34" i="1"/>
  <c r="AB34" i="1"/>
  <c r="AA34" i="1"/>
  <c r="AD33" i="1"/>
  <c r="AC33" i="1"/>
  <c r="AB33" i="1"/>
  <c r="AA33" i="1"/>
  <c r="AD32" i="1"/>
  <c r="AC32" i="1"/>
  <c r="AB32" i="1"/>
  <c r="AA32" i="1"/>
  <c r="AD31" i="1"/>
  <c r="AC31" i="1"/>
  <c r="AB31" i="1"/>
  <c r="AA31" i="1"/>
  <c r="AD30" i="1"/>
  <c r="AC30" i="1"/>
  <c r="AB30" i="1"/>
  <c r="AA30" i="1"/>
  <c r="AD29" i="1"/>
  <c r="AC29" i="1"/>
  <c r="AB29" i="1"/>
  <c r="AA29" i="1"/>
  <c r="AD28" i="1"/>
  <c r="AC28" i="1"/>
  <c r="AB28" i="1"/>
  <c r="AA28" i="1"/>
  <c r="AD27" i="1"/>
  <c r="AC27" i="1"/>
  <c r="AB27" i="1"/>
  <c r="AA27" i="1"/>
  <c r="AD26" i="1"/>
  <c r="AC26" i="1"/>
  <c r="AB26" i="1"/>
  <c r="AA26" i="1"/>
  <c r="AD25" i="1"/>
  <c r="AC25" i="1"/>
  <c r="AB25" i="1"/>
  <c r="AA25" i="1"/>
  <c r="AD24" i="1"/>
  <c r="AC24" i="1"/>
  <c r="AB24" i="1"/>
  <c r="AA24" i="1"/>
  <c r="AD23" i="1"/>
  <c r="AC23" i="1"/>
  <c r="AB23" i="1"/>
  <c r="AA23" i="1"/>
  <c r="AD22" i="1"/>
  <c r="AC22" i="1"/>
  <c r="AB22" i="1"/>
  <c r="AA22" i="1"/>
  <c r="AE19" i="1" s="1"/>
  <c r="AD21" i="1"/>
  <c r="AC21" i="1"/>
  <c r="AB21" i="1"/>
  <c r="AA21" i="1"/>
  <c r="AD18" i="1"/>
  <c r="AC18" i="1"/>
  <c r="AB18" i="1"/>
  <c r="AA18" i="1"/>
  <c r="AD17" i="1"/>
  <c r="AC17" i="1"/>
  <c r="AB17" i="1"/>
  <c r="AA17" i="1"/>
  <c r="AD16" i="1"/>
  <c r="AC16" i="1"/>
  <c r="AB16" i="1"/>
  <c r="AA16" i="1"/>
  <c r="AD15" i="1"/>
  <c r="AC15" i="1"/>
  <c r="AB15" i="1"/>
  <c r="AA15" i="1"/>
  <c r="AD14" i="1"/>
  <c r="AC14" i="1"/>
  <c r="AB14" i="1"/>
  <c r="AA14" i="1"/>
  <c r="AD13" i="1"/>
  <c r="AC13" i="1"/>
  <c r="AB13" i="1"/>
  <c r="AA13" i="1"/>
  <c r="AD12" i="1"/>
  <c r="AF11" i="1" s="1"/>
  <c r="AC12" i="1"/>
  <c r="AB12" i="1"/>
  <c r="AA12" i="1"/>
  <c r="AE11" i="1"/>
  <c r="AD10" i="1"/>
  <c r="AC10" i="1"/>
  <c r="AB10" i="1"/>
  <c r="AA10" i="1"/>
  <c r="AD9" i="1"/>
  <c r="AC9" i="1"/>
  <c r="AB9" i="1"/>
  <c r="AA9" i="1"/>
  <c r="AE7" i="1" s="1"/>
  <c r="AD8" i="1"/>
  <c r="AC8" i="1"/>
  <c r="AB8" i="1"/>
  <c r="AA8" i="1"/>
  <c r="AA4" i="1" s="1"/>
  <c r="E11" i="1" l="1"/>
  <c r="E35" i="1"/>
  <c r="E42" i="1"/>
  <c r="E111" i="1"/>
  <c r="AF19" i="1"/>
  <c r="E19" i="1" s="1"/>
  <c r="AF111" i="1"/>
  <c r="AE126" i="1"/>
  <c r="E126" i="1" s="1"/>
  <c r="AF7" i="1"/>
  <c r="E7" i="1" s="1"/>
  <c r="AE66" i="1"/>
  <c r="E66" i="1" s="1"/>
  <c r="AB4" i="1"/>
  <c r="C4" i="1" s="1"/>
</calcChain>
</file>

<file path=xl/sharedStrings.xml><?xml version="1.0" encoding="utf-8"?>
<sst xmlns="http://schemas.openxmlformats.org/spreadsheetml/2006/main" count="285" uniqueCount="279">
  <si>
    <t xml:space="preserve"> Quality Assurance Center </t>
  </si>
  <si>
    <t xml:space="preserve">Oman Healthcare Accrediation System </t>
  </si>
  <si>
    <t xml:space="preserve">Self Assessment Tool (SAT) </t>
  </si>
  <si>
    <t>Chapter 4</t>
  </si>
  <si>
    <t>Specialized Medical Care Services (SMCS)</t>
  </si>
  <si>
    <t>Conformity Level</t>
  </si>
  <si>
    <t>Evidence</t>
  </si>
  <si>
    <t xml:space="preserve">Comments </t>
  </si>
  <si>
    <t xml:space="preserve">Provision of Care </t>
  </si>
  <si>
    <t xml:space="preserve">SMCS.1 </t>
  </si>
  <si>
    <t>The hospital displays information to patients and families on services provided</t>
  </si>
  <si>
    <t>Total Measures: 3</t>
  </si>
  <si>
    <t>SMCS.1.a</t>
  </si>
  <si>
    <t>The hospital uses a variety of methods to display information, such as posters, brochures, media, MOH portals, or websites, with methods of how to access its services.</t>
  </si>
  <si>
    <t>SMCS.1.b</t>
  </si>
  <si>
    <t>All hospital staff are oriented to these services, mainly the staff in reception, outpatient department, and in-patient departments.</t>
  </si>
  <si>
    <t>SMCS.1.c</t>
  </si>
  <si>
    <t>The hospital uses appropriate language and format to provide information about its services to patients, families, and community.</t>
  </si>
  <si>
    <t xml:space="preserve">SMCS.2 </t>
  </si>
  <si>
    <t>The hospital implements a mechanism to ensure the provision of a unified standard of care to patients.</t>
  </si>
  <si>
    <t>Total Measures: 6</t>
  </si>
  <si>
    <t>SMCS.2.a</t>
  </si>
  <si>
    <t>Patient’s care is provided according to the policies, laws and regulations.</t>
  </si>
  <si>
    <t>SMCS.2.b</t>
  </si>
  <si>
    <t>Department leaders ensure that all patients receive the same standards of care throughout the hospital departments, all the time (during the morning, afternoon, or night, working hours, or off-hours, regardless of their race, gender, or religion and whether they can pay or not.</t>
  </si>
  <si>
    <t>SMCS.2.c</t>
  </si>
  <si>
    <t>Every patient has an individualized care plan based on their initial assessment and reassessment.</t>
  </si>
  <si>
    <t>SMCS.2.d</t>
  </si>
  <si>
    <t>Each patient attending in-patient or outpatient services receives awareness about their rights and responsibilities.</t>
  </si>
  <si>
    <t>SMCS.2.e</t>
  </si>
  <si>
    <t>The hospital designs and carries out processes to provide continuity of patient care services in the hospital and coordination among health care providers.</t>
  </si>
  <si>
    <t>SMCS.2.f</t>
  </si>
  <si>
    <t>The hospital has qualified professionals responsible for the patient’s care during all phases of in-patient care.</t>
  </si>
  <si>
    <t>SMCS.3</t>
  </si>
  <si>
    <t>The hospital has a standardized method for registration and admission of patients within its scope of services that meet patients' health needs.</t>
  </si>
  <si>
    <t>Total Measures: 14</t>
  </si>
  <si>
    <t>SMCS.3.a</t>
  </si>
  <si>
    <t>The hospital has clear policy and procedures describing the process used for admission in various departments, including but not limited to:</t>
  </si>
  <si>
    <r>
      <rPr>
        <sz val="14"/>
        <color rgb="FF000000"/>
        <rFont val="Symbol"/>
        <charset val="2"/>
      </rPr>
      <t>·</t>
    </r>
    <r>
      <rPr>
        <sz val="14"/>
        <color rgb="FF000000"/>
        <rFont val="Times New Roman"/>
        <charset val="134"/>
      </rPr>
      <t>    Roles and responsibilities of each department involved in the admission process.</t>
    </r>
  </si>
  <si>
    <r>
      <rPr>
        <sz val="14"/>
        <color rgb="FF000000"/>
        <rFont val="Symbol"/>
        <charset val="2"/>
      </rPr>
      <t>·</t>
    </r>
    <r>
      <rPr>
        <sz val="14"/>
        <color rgb="FF000000"/>
        <rFont val="Times New Roman"/>
        <charset val="134"/>
      </rPr>
      <t>    Elective admissions and patients admitted</t>
    </r>
  </si>
  <si>
    <r>
      <rPr>
        <sz val="14"/>
        <color rgb="FF000000"/>
        <rFont val="Symbol"/>
        <charset val="2"/>
      </rPr>
      <t>·</t>
    </r>
    <r>
      <rPr>
        <sz val="14"/>
        <color rgb="FF000000"/>
        <rFont val="Times New Roman"/>
        <charset val="134"/>
      </rPr>
      <t>    Emergency room</t>
    </r>
  </si>
  <si>
    <r>
      <rPr>
        <sz val="14"/>
        <color rgb="FF000000"/>
        <rFont val="Symbol"/>
        <charset val="2"/>
      </rPr>
      <t>·</t>
    </r>
    <r>
      <rPr>
        <sz val="14"/>
        <color rgb="FF000000"/>
        <rFont val="Times New Roman"/>
        <charset val="134"/>
      </rPr>
      <t>    Day care admission</t>
    </r>
  </si>
  <si>
    <r>
      <rPr>
        <sz val="14"/>
        <color rgb="FF000000"/>
        <rFont val="Symbol"/>
        <charset val="2"/>
      </rPr>
      <t>·</t>
    </r>
    <r>
      <rPr>
        <sz val="14"/>
        <color rgb="FF000000"/>
        <rFont val="Times New Roman"/>
        <charset val="134"/>
      </rPr>
      <t xml:space="preserve">    Registration of outpatient. </t>
    </r>
  </si>
  <si>
    <r>
      <rPr>
        <sz val="14"/>
        <color rgb="FF000000"/>
        <rFont val="Symbol"/>
        <charset val="2"/>
      </rPr>
      <t>·</t>
    </r>
    <r>
      <rPr>
        <sz val="14"/>
        <color rgb="FF000000"/>
        <rFont val="Times New Roman"/>
        <charset val="134"/>
      </rPr>
      <t>    Process for managing patients requiring admission in case of unavailability of beds.</t>
    </r>
  </si>
  <si>
    <r>
      <rPr>
        <sz val="14"/>
        <color rgb="FF222222"/>
        <rFont val="Symbol"/>
        <charset val="2"/>
      </rPr>
      <t>·</t>
    </r>
    <r>
      <rPr>
        <sz val="14"/>
        <color rgb="FF222222"/>
        <rFont val="Times New Roman"/>
        <charset val="134"/>
      </rPr>
      <t xml:space="preserve">    </t>
    </r>
    <r>
      <rPr>
        <sz val="14"/>
        <color rgb="FF000000"/>
        <rFont val="Times New Roman"/>
        <charset val="134"/>
      </rPr>
      <t>Pathway of admission procedure</t>
    </r>
  </si>
  <si>
    <t>SMCS.3.b</t>
  </si>
  <si>
    <t xml:space="preserve">All staff are oriented about the standardized process of admission of patients to various hospital settings. </t>
  </si>
  <si>
    <t>SMCS.3.c</t>
  </si>
  <si>
    <t xml:space="preserve">Each patient has a unique registration identification number through the process of admission. </t>
  </si>
  <si>
    <t>SMCS.3.d</t>
  </si>
  <si>
    <t>Patients are accepted only if the hospital can provide the services.</t>
  </si>
  <si>
    <t>SMCS.3.e</t>
  </si>
  <si>
    <t>Hospital department leaders conduct monitoring audits to assess staff compliance to policies and procedures.</t>
  </si>
  <si>
    <t>SMCS.3.f</t>
  </si>
  <si>
    <t>The staff are oriented to the admission policy and procedure to ensure a consistent admission process in the hospital units/ department.</t>
  </si>
  <si>
    <t>SMCS.3.g</t>
  </si>
  <si>
    <t>Each department has an admission criterion designed for their scope of service.</t>
  </si>
  <si>
    <t>SMCS.3.h</t>
  </si>
  <si>
    <t>There is regular audit conducted to monitor compliance admission process by healthcare staff to ensure standardized practice.</t>
  </si>
  <si>
    <t>SMCS.4</t>
  </si>
  <si>
    <t>The hospital has clear mechanism for patients transfer.</t>
  </si>
  <si>
    <t>SMCS.4.a</t>
  </si>
  <si>
    <t>The hospital has a documented transfer policy of patients’ intra and inter hospital.</t>
  </si>
  <si>
    <t>SMCS.4.b</t>
  </si>
  <si>
    <t>The Hospital staff are oriented about the transfer process.</t>
  </si>
  <si>
    <t>SMCS.4.c</t>
  </si>
  <si>
    <t>The hospital leaders and staff are responsible to provide detailed information on patient medical and nursing assessments, the reason for the transfer, clinical findings, medication use, and all related information.</t>
  </si>
  <si>
    <t>SMCS.4.d</t>
  </si>
  <si>
    <t xml:space="preserve">There is a unified checklist is recommended to structure the transfer process and mitigate risks to the patients.  </t>
  </si>
  <si>
    <t>SMCS.4.e</t>
  </si>
  <si>
    <t>The staff responsible to receive the patient in the receiving unit is responsible to assess the patient’s condition on arrival, to ensure patient safety and transfer to appropriate service.</t>
  </si>
  <si>
    <t>SMCS.4.f</t>
  </si>
  <si>
    <t>The hospital monitors the compliance of the healthcare staff with the transfer policy to ensure standardized practice.</t>
  </si>
  <si>
    <t>SMCS.5</t>
  </si>
  <si>
    <t xml:space="preserve">The hospital has a clear process for assessment of patients throughout care process.
</t>
  </si>
  <si>
    <t>Total Measures: 16</t>
  </si>
  <si>
    <t>SMCS.5.a</t>
  </si>
  <si>
    <t xml:space="preserve">Hospital has clear policies and procedures for patients’ physical  assessment and re-assessment, time frame for completion of the initial assessment process and the frequency of reassessment, content of assessment in different care setting such as:  </t>
  </si>
  <si>
    <t>1. Inpatient assessment</t>
  </si>
  <si>
    <t>2. Outpatient assessment</t>
  </si>
  <si>
    <t xml:space="preserve">3. Critical care assessment </t>
  </si>
  <si>
    <t>4. Emergency assessment.</t>
  </si>
  <si>
    <t>SMCS.5.b</t>
  </si>
  <si>
    <t>The policy and procedures define the scope and content of assessment by each discipline such as physicians, nurses, social services and dietitians, and other service providers.</t>
  </si>
  <si>
    <t>SMCS.5.c</t>
  </si>
  <si>
    <t xml:space="preserve">The hospital ensures training is conducted for the concerned staff to follow policies and procedures of proper assessment. </t>
  </si>
  <si>
    <t>SMCS.5.d</t>
  </si>
  <si>
    <r>
      <rPr>
        <sz val="14"/>
        <color rgb="FF000000"/>
        <rFont val="Times New Roman"/>
        <charset val="134"/>
      </rPr>
      <t>The assessment includes discharge planning, the type of diagnostic testing required, and priorities of the level of care required</t>
    </r>
    <r>
      <rPr>
        <sz val="12"/>
        <color rgb="FF222222"/>
        <rFont val="Times New Roman"/>
        <charset val="134"/>
      </rPr>
      <t>.</t>
    </r>
  </si>
  <si>
    <t>SMCS.5.e</t>
  </si>
  <si>
    <t>The is evidence to ensure all patients are reassessed at appropriate intervals as per the policy, to determine response to treatment, detect complications or adverse reactions, compliance to treatment, to plan the further continuation of treatment or change accordingly.</t>
  </si>
  <si>
    <t>SMCS.5.f</t>
  </si>
  <si>
    <t>The hospital uses standardized assessments tools:</t>
  </si>
  <si>
    <r>
      <rPr>
        <sz val="14"/>
        <color rgb="FF000000"/>
        <rFont val="Symbol"/>
        <charset val="2"/>
      </rPr>
      <t>·</t>
    </r>
    <r>
      <rPr>
        <sz val="14"/>
        <color rgb="FF000000"/>
        <rFont val="Times New Roman"/>
        <charset val="134"/>
      </rPr>
      <t xml:space="preserve"> Pain score</t>
    </r>
  </si>
  <si>
    <r>
      <rPr>
        <sz val="14"/>
        <color rgb="FF000000"/>
        <rFont val="Symbol"/>
        <charset val="2"/>
      </rPr>
      <t>·</t>
    </r>
    <r>
      <rPr>
        <sz val="14"/>
        <color rgb="FF000000"/>
        <rFont val="Times New Roman"/>
        <charset val="134"/>
      </rPr>
      <t xml:space="preserve"> Fall risk/score</t>
    </r>
  </si>
  <si>
    <r>
      <rPr>
        <sz val="14"/>
        <color rgb="FF000000"/>
        <rFont val="Symbol"/>
        <charset val="2"/>
      </rPr>
      <t>·</t>
    </r>
    <r>
      <rPr>
        <sz val="14"/>
        <color rgb="FF000000"/>
        <rFont val="Times New Roman"/>
        <charset val="134"/>
      </rPr>
      <t xml:space="preserve"> Nutritional assessment</t>
    </r>
  </si>
  <si>
    <r>
      <rPr>
        <sz val="14"/>
        <color rgb="FF000000"/>
        <rFont val="Symbol"/>
        <charset val="2"/>
      </rPr>
      <t>·</t>
    </r>
    <r>
      <rPr>
        <sz val="14"/>
        <color rgb="FF000000"/>
        <rFont val="Times New Roman"/>
        <charset val="134"/>
      </rPr>
      <t xml:space="preserve"> Physical assessments</t>
    </r>
  </si>
  <si>
    <r>
      <rPr>
        <sz val="14"/>
        <color rgb="FF000000"/>
        <rFont val="Symbol"/>
        <charset val="2"/>
      </rPr>
      <t>·</t>
    </r>
    <r>
      <rPr>
        <sz val="14"/>
        <color rgb="FF000000"/>
        <rFont val="Times New Roman"/>
        <charset val="134"/>
      </rPr>
      <t xml:space="preserve"> Skin assessment </t>
    </r>
  </si>
  <si>
    <t>SMCS.5.g</t>
  </si>
  <si>
    <t>Patients are being reassessed to confirm effectiveness of care plans, patient response to treatment, patient compliance with treatment, plan continuation of treatment etc.</t>
  </si>
  <si>
    <t>SMCS.5.h</t>
  </si>
  <si>
    <t>Documentation of patient’s care plan is maintained in electronic medical records.</t>
  </si>
  <si>
    <t>SMCS.5.i</t>
  </si>
  <si>
    <t>Each department head conducts regular monitoring to ensure staff compliance to their concerned policy and procedures.</t>
  </si>
  <si>
    <t>SMCS.6</t>
  </si>
  <si>
    <t>The hospital uses evidence-based clinical practice guidelines to guide care for patients as applicable, in various clinical specialties.</t>
  </si>
  <si>
    <t>Total Measures: 4</t>
  </si>
  <si>
    <t>SMCS.6.a</t>
  </si>
  <si>
    <t xml:space="preserve">The Hospital has clinical practice guidelines, protocols, pathways that are developed as per evidence- based medicine. </t>
  </si>
  <si>
    <t>SMCS.6.b</t>
  </si>
  <si>
    <t>These guidelines are used to guide healthcare providers in making appropriate clinical decisions.</t>
  </si>
  <si>
    <t>SMCS.6.c</t>
  </si>
  <si>
    <t xml:space="preserve">These guidelines are updated every 2-3 years or earlier as required. </t>
  </si>
  <si>
    <t>SMCS.6.d</t>
  </si>
  <si>
    <t xml:space="preserve">The department monitors compliance with guidelines to ensure the staff are following the clinical practice guidelines. </t>
  </si>
  <si>
    <t>SMCS.7</t>
  </si>
  <si>
    <t xml:space="preserve">
The hospital has a process to identify and deal with patients requiring urgent or emergent care.
</t>
  </si>
  <si>
    <t>Total Measures: 8</t>
  </si>
  <si>
    <t>SMCS.7.a</t>
  </si>
  <si>
    <t>Hospital has clear written guidelines/ pathways to identify and manage patients who are on need for urgent or emergent care.   This includes  but not limited to:</t>
  </si>
  <si>
    <t>· Stroke.</t>
  </si>
  <si>
    <t>· Poisoning</t>
  </si>
  <si>
    <t>· VTE</t>
  </si>
  <si>
    <t xml:space="preserve">· Trauma. </t>
  </si>
  <si>
    <t>. Any arising emergent conditions.</t>
  </si>
  <si>
    <t>SMCS.7.b</t>
  </si>
  <si>
    <t xml:space="preserve">Staff are trained on process of determining the severity of patient’s condition and handling patients as per the written guidelines. </t>
  </si>
  <si>
    <t>SMCS.7.c</t>
  </si>
  <si>
    <t>The hospital ensures appropriate timely care is provided for emergent cases.</t>
  </si>
  <si>
    <t>SMCS.7.d</t>
  </si>
  <si>
    <t xml:space="preserve">There is always regular process of monitoring the process to ensure proper implantation and follow up. </t>
  </si>
  <si>
    <t>SMCS.8</t>
  </si>
  <si>
    <t>The hospital has a process to obtain informed consent before any procedure requiring informed consent.</t>
  </si>
  <si>
    <t>Total Measures: 15</t>
  </si>
  <si>
    <t>SMCS.8.a</t>
  </si>
  <si>
    <t>The hospital has a policy for obtaining informed consent from a patient or his/ her legal representative before starting invasive or high-risk procedures or treatment. The policy includes explanations of the nature of the procedures/ treatment, benefits, or expected harms.</t>
  </si>
  <si>
    <t>SMCS.8.b</t>
  </si>
  <si>
    <t xml:space="preserve">The hospital identifies the list of procedures require informed consent, including, but are not limited to: </t>
  </si>
  <si>
    <t>All the invasive procedures</t>
  </si>
  <si>
    <t>All surgical procedures</t>
  </si>
  <si>
    <t>High risk procedures/ treatments</t>
  </si>
  <si>
    <t>Blood transfusions</t>
  </si>
  <si>
    <t>Organ transplantation</t>
  </si>
  <si>
    <t>CT scan with contrast</t>
  </si>
  <si>
    <t>Endoscopy</t>
  </si>
  <si>
    <t>Biopsy</t>
  </si>
  <si>
    <t>MRI</t>
  </si>
  <si>
    <t>SMCS.8.c</t>
  </si>
  <si>
    <t xml:space="preserve">The Hospital has evidence of training records for staff on the informed consent policy. </t>
  </si>
  <si>
    <t>SMCS.8.d</t>
  </si>
  <si>
    <t xml:space="preserve">The informed consent is available and easily accessible to all staff. </t>
  </si>
  <si>
    <t>SMCS.8.e</t>
  </si>
  <si>
    <t>Informed consent can only be obtained by the physician conducting the procedure or/and surgery.</t>
  </si>
  <si>
    <t>SMCS.8.f</t>
  </si>
  <si>
    <t>There is evidence that if a patient is unable to give informed consent (e.g., minors or mentally incompetent patients), consent should is filled by patient’s next of kin or guardian.</t>
  </si>
  <si>
    <t>SMCS.8.g</t>
  </si>
  <si>
    <t>The Hospital has a regular process to measuring the compliance to the policy.</t>
  </si>
  <si>
    <t>SMCS.9</t>
  </si>
  <si>
    <t>The hospital has a process to meet the needs of terminally ill patients and end of life care</t>
  </si>
  <si>
    <t>Total Measures: 7</t>
  </si>
  <si>
    <t xml:space="preserve">SMCS.9.a </t>
  </si>
  <si>
    <t xml:space="preserve">The hospital has clear guide on providing effective care for terminally ill patients such as pain management and other symptoms.  </t>
  </si>
  <si>
    <t>SMCS.9.b</t>
  </si>
  <si>
    <t>The Hospital staff are well oriented on the end-of-life care guide.</t>
  </si>
  <si>
    <t>SMCS.9.c</t>
  </si>
  <si>
    <t>The hospital staff assesses and attend patients’ specific needs such as pain management, feeding, skin care, turning, etc.</t>
  </si>
  <si>
    <t>SMCS.9.d</t>
  </si>
  <si>
    <t>The hospital staff responds to the individual needs of terminally ill patients, such as physical, psychological, spiritual, and cultural needs.</t>
  </si>
  <si>
    <t>SMCS.9.e</t>
  </si>
  <si>
    <t>The hospital staff educates and involves family members on the care decision.</t>
  </si>
  <si>
    <t>SMCS.9.f</t>
  </si>
  <si>
    <t>The team follows right process to transfer patient to another hospital if hospital is unable to provide palliative care service to a patient.</t>
  </si>
  <si>
    <t>SMCS.9.g</t>
  </si>
  <si>
    <t>There is regular monitoring audit to assess staff compliance to the guide and to assess the effectiveness of the implemented process.</t>
  </si>
  <si>
    <t>SMCS. 10</t>
  </si>
  <si>
    <t>Hospital has a mechanism to guide the management of patients with mental/ psychiatric problems.</t>
  </si>
  <si>
    <t>SMCS.10.a</t>
  </si>
  <si>
    <t>The Hospital has clear policies to guide on identifying and assessing patients vulnerable to harm self, or others including patients with psychiatric issues such as:</t>
  </si>
  <si>
    <r>
      <rPr>
        <sz val="14"/>
        <color rgb="FF000000"/>
        <rFont val="Symbol"/>
        <charset val="2"/>
      </rPr>
      <t>·</t>
    </r>
    <r>
      <rPr>
        <sz val="14"/>
        <color rgb="FF000000"/>
        <rFont val="Times New Roman"/>
        <charset val="134"/>
      </rPr>
      <t>  Management of patients who is high risk for suicide</t>
    </r>
  </si>
  <si>
    <r>
      <rPr>
        <sz val="14"/>
        <color rgb="FF000000"/>
        <rFont val="Symbol"/>
        <charset val="2"/>
      </rPr>
      <t>·</t>
    </r>
    <r>
      <rPr>
        <sz val="14"/>
        <color rgb="FF000000"/>
        <rFont val="Times New Roman"/>
        <charset val="134"/>
      </rPr>
      <t>  Management of violent patients</t>
    </r>
  </si>
  <si>
    <r>
      <rPr>
        <sz val="14"/>
        <color rgb="FF000000"/>
        <rFont val="Symbol"/>
        <charset val="2"/>
      </rPr>
      <t>·</t>
    </r>
    <r>
      <rPr>
        <sz val="14"/>
        <color rgb="FF000000"/>
        <rFont val="Times New Roman"/>
        <charset val="134"/>
      </rPr>
      <t>  Management of  patients with restraints</t>
    </r>
  </si>
  <si>
    <r>
      <rPr>
        <sz val="14"/>
        <color rgb="FF000000"/>
        <rFont val="Symbol"/>
        <charset val="2"/>
      </rPr>
      <t xml:space="preserve">· </t>
    </r>
    <r>
      <rPr>
        <sz val="14"/>
        <color rgb="FF000000"/>
        <rFont val="Times New Roman"/>
        <charset val="134"/>
      </rPr>
      <t>Management of patients with psychosis, who need seclusion, ECT</t>
    </r>
    <r>
      <rPr>
        <sz val="14"/>
        <color rgb="FF000000"/>
        <rFont val="Symbol"/>
        <charset val="2"/>
      </rPr>
      <t>.</t>
    </r>
  </si>
  <si>
    <t>SMCS.10.b</t>
  </si>
  <si>
    <t>The Hospital staff are oriented to these policies.</t>
  </si>
  <si>
    <t>SMCS.10.c</t>
  </si>
  <si>
    <t xml:space="preserve">Referral is made to the hospital providing specific management in case of unavailability of the services required. </t>
  </si>
  <si>
    <t>SMCS.10.d</t>
  </si>
  <si>
    <t xml:space="preserve">If patients are for transfer, patients and family are informed. </t>
  </si>
  <si>
    <t>SMCS.10.e</t>
  </si>
  <si>
    <t xml:space="preserve">There is regular audit performed to assess compliance to these policies. </t>
  </si>
  <si>
    <t>SMCS.11</t>
  </si>
  <si>
    <t xml:space="preserve">The hospital has a process to coordinate patient care among healthcare teams.  </t>
  </si>
  <si>
    <t>SMCS.11.a</t>
  </si>
  <si>
    <t>The Hospital has a system to facilitate the continuity of a coordinated provision of care to patients.</t>
  </si>
  <si>
    <t>SMCS.11.b</t>
  </si>
  <si>
    <t xml:space="preserve">The system includes patient’s medical records that allow sharing information of patients’ care and treatment between authorized multidisciplinary team, including medical, nursing, and all other health care providers. </t>
  </si>
  <si>
    <t>SMCS.11.c</t>
  </si>
  <si>
    <t>Department leaders ensure that there is complete documentation of care progression of patients and length of stay, effectiveness, and evidence for improvement.</t>
  </si>
  <si>
    <t>SMCS. 12</t>
  </si>
  <si>
    <t>The hospital has a clear policy to assess, reassess and manage patients with pain.</t>
  </si>
  <si>
    <t>Total Measures: 10</t>
  </si>
  <si>
    <t>SMCS.12.a</t>
  </si>
  <si>
    <t>The Hospital has clear policy and procedures of pain management, which clearly defines the need for comprehensive pain assessment, reassessment, and management.</t>
  </si>
  <si>
    <t>SMCS.12.b</t>
  </si>
  <si>
    <t xml:space="preserve">The hospital considers patient pain management as basic patient right. </t>
  </si>
  <si>
    <t>SMCS.12.c</t>
  </si>
  <si>
    <t>The policy includes process of assessing pain intensity, frequency, location, duration, and type.</t>
  </si>
  <si>
    <t>SMCS.12.d</t>
  </si>
  <si>
    <t xml:space="preserve">The Hospital’s staff are trained on their role in pain assessment, reassessment, and management. </t>
  </si>
  <si>
    <t>SMCS.12.e</t>
  </si>
  <si>
    <t>There is evidence of pain assessment based on validated pain assessment scale</t>
  </si>
  <si>
    <t>SMCS.12.f</t>
  </si>
  <si>
    <t>The staff conducts pain assessment, and document it frequently as planned for patients, including pain history (site, radiation, intensity, character etc.)</t>
  </si>
  <si>
    <t>SMCS.12.g</t>
  </si>
  <si>
    <t>The pain scoring  is done before giving pain medication, and at regular intervals post dosing (e.g., Pain scale-numeric rating system, Wong-Baker FACES pain rating scale).</t>
  </si>
  <si>
    <t>SMCS.12.h</t>
  </si>
  <si>
    <t>Planning for pain management is done prior to surgery or any painful intervention/procedure.</t>
  </si>
  <si>
    <t>SMCS.12.i</t>
  </si>
  <si>
    <t xml:space="preserve">The pain management is based on patient’s condition, using different pharmacologic and non-therapeutic methods.  </t>
  </si>
  <si>
    <t>SMCS.12.j</t>
  </si>
  <si>
    <t>Department leaders conduct regular audits to assess staff compliance to the policy.</t>
  </si>
  <si>
    <t>SMCS. 13</t>
  </si>
  <si>
    <t>The hospital implements a systematic patient discharge process.</t>
  </si>
  <si>
    <t>SMCS.13.a</t>
  </si>
  <si>
    <t xml:space="preserve">The Hospital has a documented discharge planning policy/guide </t>
  </si>
  <si>
    <t>SMCS.13.b</t>
  </si>
  <si>
    <t xml:space="preserve">The Hospital ensures the staff are aware about the discharge planning policy. </t>
  </si>
  <si>
    <t>SMCS.13.c</t>
  </si>
  <si>
    <t>The patient discharge planning starts as early time as the admission time.</t>
  </si>
  <si>
    <t>SMCS.13.d</t>
  </si>
  <si>
    <t xml:space="preserve">Patients and the family are involved in the discharge process. </t>
  </si>
  <si>
    <t>SMCS.13.e</t>
  </si>
  <si>
    <t xml:space="preserve">The process includes at least one meeting between the patient, family, and discharge planner to help the patient to be prepared for discharge. The meeting addresses patients' needs after discharge to prevent possible risks at home </t>
  </si>
  <si>
    <t>SMCS.13.f</t>
  </si>
  <si>
    <t xml:space="preserve">The staff coordinate with other health care institutions as appropriate to patients’ needs. Patients and their family are involved in this decision. </t>
  </si>
  <si>
    <t>SMCS.13.g</t>
  </si>
  <si>
    <t xml:space="preserve">There is a discharge summery prepared for all inpatients before they leave the hospital, with clear documentation </t>
  </si>
  <si>
    <t>SMCS.13.h</t>
  </si>
  <si>
    <t xml:space="preserve">Department leaders conduct regular audit to assess compliance with the policy. </t>
  </si>
  <si>
    <t>SMCS.14</t>
  </si>
  <si>
    <t>Hospital identifies and manages patients at risk of developing venous thromboembolism (VTE). (CSS 7)</t>
  </si>
  <si>
    <t>SMCS.14.a</t>
  </si>
  <si>
    <t xml:space="preserve">Hospital has an updated written thrombo prophylaxis guideline or policy to screen patients for the risk of developing VTE. </t>
  </si>
  <si>
    <t>SMCS.14.b</t>
  </si>
  <si>
    <t>The guidelines are periodically updated as per evidence-based practice</t>
  </si>
  <si>
    <t>SMCS.14.c</t>
  </si>
  <si>
    <t xml:space="preserve">The guidelines are made available and easily accessible in all departments and staff are well oriented to the guidelines. </t>
  </si>
  <si>
    <t>SMCS.14.d</t>
  </si>
  <si>
    <t>The treating team follows the guideline to identify patients at risk to develop DVT, pulmonary embolism (PE), and implement applicable prophylaxis.</t>
  </si>
  <si>
    <t>SMCS.14.e</t>
  </si>
  <si>
    <t xml:space="preserve">The hospital implements measures to regularly audit implementations of appropriate thromboprophylaxis to ensure all at-risk patients, are identified and managed according to the current guidelines. </t>
  </si>
  <si>
    <t>SMCS.14.f</t>
  </si>
  <si>
    <t xml:space="preserve">The concerned healthcare worker provides health education to patients about the risk of VTE  medication use measures to prevent it, and any relevant and needed information. </t>
  </si>
  <si>
    <t>SMCS.14.g</t>
  </si>
  <si>
    <r>
      <rPr>
        <sz val="14"/>
        <rFont val="Times New Roman"/>
        <charset val="134"/>
      </rPr>
      <t xml:space="preserve">The guidelines are made available and easily accessible in all departments and staff are well </t>
    </r>
    <r>
      <rPr>
        <sz val="12"/>
        <rFont val="Times New Roman"/>
        <charset val="134"/>
      </rPr>
      <t xml:space="preserve">oriented to the guidelines. </t>
    </r>
  </si>
  <si>
    <t>SMCS.15</t>
  </si>
  <si>
    <t>The hospital implements a standardized process of patient identifiaction through out the hospital.(CSS.3)</t>
  </si>
  <si>
    <t>Total Measures: 5</t>
  </si>
  <si>
    <t>SMCS.15.a</t>
  </si>
  <si>
    <t>The hospital has a clear standardized policy of patient identification that covers main identifiers (full name, date of birth, unique hospital identification number), ID wrist band, patient photo identification.</t>
  </si>
  <si>
    <t>SMCS.15.b</t>
  </si>
  <si>
    <t>All hospital staff oriented on the policy and its procedures.</t>
  </si>
  <si>
    <t>SMCS.15.c</t>
  </si>
  <si>
    <t>Patient’s identification used before performing any procedure.</t>
  </si>
  <si>
    <t>SMCS.15.d</t>
  </si>
  <si>
    <t>Hospital staff actively involves patient in the confirmation process.</t>
  </si>
  <si>
    <t>SMCS.15.e</t>
  </si>
  <si>
    <t xml:space="preserve">The hospital conducts regular audit to ensure compliance to the policy. </t>
  </si>
  <si>
    <t>SMCS.16</t>
  </si>
  <si>
    <t>The hospital implements an effective process for timely reporting of urgent critical diagnostic results.</t>
  </si>
  <si>
    <t>SMCS.16.a</t>
  </si>
  <si>
    <t>The hospital implements a policy for reporting abnormal critical diagnostic test results</t>
  </si>
  <si>
    <t>SMCS.16.b</t>
  </si>
  <si>
    <t xml:space="preserve">The hospital describes the critical values for each diagnostic test. </t>
  </si>
  <si>
    <t>SMCS.16.c</t>
  </si>
  <si>
    <t>The hospital implements a standardized process to ensure immediate and accurate critical results reporting and receiving , describing precisely the first liners (the reporter and the receiver ) of the critical results and alternatives in case first liners are not available , aiming to immediate care management to given to the patients .</t>
  </si>
  <si>
    <t>SMCS.16.d</t>
  </si>
  <si>
    <t xml:space="preserve">All concerned staff are oriented on the policy. </t>
  </si>
  <si>
    <t>SMCS.16.e</t>
  </si>
  <si>
    <t xml:space="preserve">The hospital monitors the implementation of reporting process, ensuring information are documented in patients’ medical records.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</si>
</sst>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3">
    <font>
      <sz val="12"/>
      <color theme="1"/>
      <name val="Calibri"/>
      <charset val="134"/>
      <scheme val="minor"/>
    </font>
    <font>
      <b/>
      <sz val="16"/>
      <color rgb="FF000000"/>
      <name val="Times New Roman"/>
      <charset val="134"/>
    </font>
    <font>
      <sz val="12"/>
      <color rgb="FF000000"/>
      <name val="Calibri"/>
      <charset val="134"/>
      <scheme val="minor"/>
    </font>
    <font>
      <b/>
      <sz val="14"/>
      <color rgb="FF000000"/>
      <name val="Times New Roman"/>
      <charset val="134"/>
    </font>
    <font>
      <sz val="11"/>
      <color rgb="FF9C6500"/>
      <name val="Calibri"/>
      <charset val="134"/>
      <scheme val="minor"/>
    </font>
    <font>
      <b/>
      <sz val="18"/>
      <color rgb="FFC00000"/>
      <name val="Calibri"/>
      <charset val="134"/>
      <scheme val="minor"/>
    </font>
    <font>
      <b/>
      <sz val="16"/>
      <name val="Times New Roman"/>
      <charset val="134"/>
    </font>
    <font>
      <b/>
      <sz val="14"/>
      <name val="Times New Roman"/>
      <charset val="134"/>
    </font>
    <font>
      <b/>
      <sz val="12"/>
      <color rgb="FF000000"/>
      <name val="Times New Roman"/>
      <charset val="134"/>
    </font>
    <font>
      <b/>
      <sz val="18"/>
      <color theme="1"/>
      <name val="Times New Roman"/>
      <charset val="134"/>
    </font>
    <font>
      <b/>
      <sz val="16"/>
      <color rgb="FF002060"/>
      <name val="Times New Roman"/>
      <charset val="134"/>
    </font>
    <font>
      <b/>
      <sz val="16"/>
      <color theme="1"/>
      <name val="Times New Roman"/>
      <charset val="134"/>
    </font>
    <font>
      <sz val="14"/>
      <color rgb="FF000000"/>
      <name val="Times New Roman"/>
      <charset val="134"/>
    </font>
    <font>
      <sz val="16"/>
      <color theme="1"/>
      <name val="Calibri"/>
      <charset val="134"/>
      <scheme val="minor"/>
    </font>
    <font>
      <b/>
      <sz val="14"/>
      <color theme="1"/>
      <name val="Times New Roman"/>
      <charset val="134"/>
    </font>
    <font>
      <b/>
      <sz val="18"/>
      <color theme="1"/>
      <name val="Calibri"/>
      <charset val="134"/>
      <scheme val="minor"/>
    </font>
    <font>
      <sz val="14"/>
      <color rgb="FF000000"/>
      <name val="Symbol"/>
      <charset val="2"/>
    </font>
    <font>
      <sz val="14"/>
      <color rgb="FF222222"/>
      <name val="Symbol"/>
      <charset val="2"/>
    </font>
    <font>
      <sz val="14"/>
      <color rgb="FF222222"/>
      <name val="Times New Roman"/>
      <charset val="134"/>
    </font>
    <font>
      <sz val="12"/>
      <color rgb="FF222222"/>
      <name val="Times New Roman"/>
      <charset val="134"/>
    </font>
    <font>
      <sz val="14"/>
      <name val="Times New Roman"/>
      <charset val="134"/>
    </font>
    <font>
      <sz val="12"/>
      <name val="Times New Roman"/>
      <charset val="134"/>
    </font>
    <font>
      <sz val="14"/>
      <color theme="1"/>
      <name val="Calibri"/>
      <charset val="134"/>
      <scheme val="minor"/>
    </font>
  </fonts>
  <fills count="14">
    <fill>
      <patternFill patternType="none"/>
    </fill>
    <fill>
      <patternFill patternType="gray125"/>
    </fill>
    <fill>
      <patternFill patternType="solid">
        <fgColor rgb="FFE4DFEC"/>
        <bgColor rgb="FF000000"/>
      </patternFill>
    </fill>
    <fill>
      <patternFill patternType="solid">
        <fgColor rgb="FFDDD9C4"/>
        <bgColor rgb="FF000000"/>
      </patternFill>
    </fill>
    <fill>
      <patternFill patternType="solid">
        <fgColor rgb="FFF2F2F2"/>
        <bgColor rgb="FF000000"/>
      </patternFill>
    </fill>
    <fill>
      <patternFill patternType="solid">
        <fgColor rgb="FFFFEB9C"/>
        <bgColor indexed="64"/>
      </patternFill>
    </fill>
    <fill>
      <patternFill patternType="solid">
        <fgColor rgb="FFCCFFCC"/>
        <bgColor indexed="64"/>
      </patternFill>
    </fill>
    <fill>
      <patternFill patternType="solid">
        <fgColor rgb="FFF79646"/>
        <bgColor rgb="FF000000"/>
      </patternFill>
    </fill>
    <fill>
      <patternFill patternType="solid">
        <fgColor rgb="FFFFFF00"/>
        <bgColor indexed="64"/>
      </patternFill>
    </fill>
    <fill>
      <patternFill patternType="solid">
        <fgColor theme="4" tint="0.59999389629810485"/>
        <bgColor indexed="64"/>
      </patternFill>
    </fill>
    <fill>
      <patternFill patternType="solid">
        <fgColor theme="3" tint="0.79995117038483843"/>
        <bgColor indexed="64"/>
      </patternFill>
    </fill>
    <fill>
      <patternFill patternType="solid">
        <fgColor theme="9" tint="0.79995117038483843"/>
        <bgColor indexed="64"/>
      </patternFill>
    </fill>
    <fill>
      <patternFill patternType="solid">
        <fgColor theme="5" tint="0.59999389629810485"/>
        <bgColor indexed="64"/>
      </patternFill>
    </fill>
    <fill>
      <patternFill patternType="solid">
        <fgColor theme="9" tint="-0.249977111117893"/>
        <bgColor indexed="64"/>
      </patternFill>
    </fill>
  </fills>
  <borders count="21">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ck">
        <color auto="1"/>
      </bottom>
      <diagonal/>
    </border>
    <border>
      <left/>
      <right/>
      <top style="thin">
        <color auto="1"/>
      </top>
      <bottom style="thick">
        <color auto="1"/>
      </bottom>
      <diagonal/>
    </border>
    <border>
      <left style="thick">
        <color auto="1"/>
      </left>
      <right/>
      <top style="thin">
        <color auto="1"/>
      </top>
      <bottom style="thick">
        <color auto="1"/>
      </bottom>
      <diagonal/>
    </border>
    <border>
      <left/>
      <right style="thin">
        <color auto="1"/>
      </right>
      <top style="thin">
        <color auto="1"/>
      </top>
      <bottom style="thick">
        <color auto="1"/>
      </bottom>
      <diagonal/>
    </border>
    <border>
      <left style="thick">
        <color auto="1"/>
      </left>
      <right style="thick">
        <color auto="1"/>
      </right>
      <top style="thick">
        <color auto="1"/>
      </top>
      <bottom style="thick">
        <color auto="1"/>
      </bottom>
      <diagonal/>
    </border>
    <border>
      <left style="thick">
        <color auto="1"/>
      </left>
      <right/>
      <top/>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style="thin">
        <color auto="1"/>
      </left>
      <right style="thin">
        <color auto="1"/>
      </right>
      <top style="thin">
        <color auto="1"/>
      </top>
      <bottom style="thin">
        <color auto="1"/>
      </bottom>
      <diagonal/>
    </border>
    <border>
      <left/>
      <right style="thick">
        <color auto="1"/>
      </right>
      <top/>
      <bottom style="thick">
        <color auto="1"/>
      </bottom>
      <diagonal/>
    </border>
    <border>
      <left style="thick">
        <color auto="1"/>
      </left>
      <right style="thick">
        <color auto="1"/>
      </right>
      <top/>
      <bottom style="thick">
        <color auto="1"/>
      </bottom>
      <diagonal/>
    </border>
    <border>
      <left style="thick">
        <color auto="1"/>
      </left>
      <right style="thick">
        <color auto="1"/>
      </right>
      <top style="thick">
        <color auto="1"/>
      </top>
      <bottom/>
      <diagonal/>
    </border>
    <border>
      <left style="thick">
        <color auto="1"/>
      </left>
      <right style="thick">
        <color auto="1"/>
      </right>
      <top/>
      <bottom/>
      <diagonal/>
    </border>
    <border>
      <left style="thick">
        <color auto="1"/>
      </left>
      <right/>
      <top/>
      <bottom style="thick">
        <color auto="1"/>
      </bottom>
      <diagonal/>
    </border>
    <border>
      <left/>
      <right/>
      <top/>
      <bottom style="thick">
        <color auto="1"/>
      </bottom>
      <diagonal/>
    </border>
    <border>
      <left/>
      <right/>
      <top style="thick">
        <color auto="1"/>
      </top>
      <bottom/>
      <diagonal/>
    </border>
  </borders>
  <cellStyleXfs count="2">
    <xf numFmtId="0" fontId="0" fillId="0" borderId="0"/>
    <xf numFmtId="0" fontId="4" fillId="5" borderId="0" applyNumberFormat="0" applyBorder="0" applyAlignment="0" applyProtection="0"/>
  </cellStyleXfs>
  <cellXfs count="85">
    <xf numFmtId="0" fontId="0" fillId="0" borderId="0" xfId="0"/>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3" borderId="1" xfId="0" applyFont="1" applyFill="1" applyBorder="1" applyAlignment="1">
      <alignment horizontal="center" vertical="center"/>
    </xf>
    <xf numFmtId="0" fontId="1" fillId="3" borderId="2" xfId="0" applyFont="1" applyFill="1" applyBorder="1" applyAlignment="1">
      <alignment horizontal="center" vertical="center"/>
    </xf>
    <xf numFmtId="0" fontId="1" fillId="3" borderId="3" xfId="0" applyFont="1" applyFill="1" applyBorder="1" applyAlignment="1">
      <alignment horizontal="center" vertical="center"/>
    </xf>
    <xf numFmtId="0" fontId="1" fillId="4" borderId="1" xfId="0" applyFont="1" applyFill="1" applyBorder="1" applyAlignment="1">
      <alignment horizontal="center" vertical="center"/>
    </xf>
    <xf numFmtId="0" fontId="1" fillId="4" borderId="2" xfId="0" applyFont="1" applyFill="1" applyBorder="1" applyAlignment="1">
      <alignment horizontal="center" vertical="center"/>
    </xf>
    <xf numFmtId="0" fontId="1" fillId="4" borderId="3" xfId="0" applyFont="1" applyFill="1" applyBorder="1" applyAlignment="1">
      <alignment horizontal="center" vertical="center"/>
    </xf>
    <xf numFmtId="0" fontId="2" fillId="4" borderId="4" xfId="0" applyFont="1" applyFill="1" applyBorder="1"/>
    <xf numFmtId="0" fontId="3" fillId="4" borderId="5" xfId="0" applyFont="1" applyFill="1" applyBorder="1" applyAlignment="1">
      <alignment horizontal="center" vertical="center"/>
    </xf>
    <xf numFmtId="0" fontId="5" fillId="5" borderId="6" xfId="1" applyFont="1" applyBorder="1" applyAlignment="1">
      <alignment horizontal="center" vertical="center"/>
    </xf>
    <xf numFmtId="0" fontId="5" fillId="5" borderId="5" xfId="1" applyFont="1" applyBorder="1" applyAlignment="1">
      <alignment horizontal="center" vertical="center"/>
    </xf>
    <xf numFmtId="0" fontId="5" fillId="5" borderId="7" xfId="1" applyFont="1" applyBorder="1" applyAlignment="1">
      <alignment horizontal="center" vertical="center"/>
    </xf>
    <xf numFmtId="0" fontId="6" fillId="6" borderId="8" xfId="0" applyFont="1" applyFill="1" applyBorder="1" applyAlignment="1">
      <alignment horizontal="center" vertical="center"/>
    </xf>
    <xf numFmtId="0" fontId="7" fillId="6" borderId="8" xfId="0" applyFont="1" applyFill="1" applyBorder="1" applyAlignment="1">
      <alignment vertical="center"/>
    </xf>
    <xf numFmtId="0" fontId="8" fillId="7" borderId="8" xfId="0" applyFont="1" applyFill="1" applyBorder="1" applyAlignment="1">
      <alignment horizontal="center" vertical="center"/>
    </xf>
    <xf numFmtId="0" fontId="0" fillId="0" borderId="8" xfId="0" applyBorder="1"/>
    <xf numFmtId="0" fontId="0" fillId="0" borderId="9" xfId="0" applyBorder="1"/>
    <xf numFmtId="0" fontId="6" fillId="8" borderId="10" xfId="0" applyFont="1" applyFill="1" applyBorder="1" applyAlignment="1">
      <alignment horizontal="center" vertical="center"/>
    </xf>
    <xf numFmtId="0" fontId="6" fillId="8" borderId="11" xfId="0" applyFont="1" applyFill="1" applyBorder="1" applyAlignment="1">
      <alignment horizontal="center" vertical="center"/>
    </xf>
    <xf numFmtId="0" fontId="6" fillId="8" borderId="12" xfId="0" applyFont="1" applyFill="1" applyBorder="1" applyAlignment="1">
      <alignment horizontal="center" vertical="center"/>
    </xf>
    <xf numFmtId="0" fontId="9" fillId="9" borderId="10" xfId="0" applyFont="1" applyFill="1" applyBorder="1" applyAlignment="1">
      <alignment vertical="center" wrapText="1"/>
    </xf>
    <xf numFmtId="0" fontId="3" fillId="9" borderId="13" xfId="0" applyFont="1" applyFill="1" applyBorder="1" applyAlignment="1">
      <alignment horizontal="justify" vertical="center" wrapText="1"/>
    </xf>
    <xf numFmtId="0" fontId="10" fillId="10" borderId="10" xfId="0" applyFont="1" applyFill="1" applyBorder="1" applyAlignment="1">
      <alignment horizontal="left" vertical="center"/>
    </xf>
    <xf numFmtId="0" fontId="10" fillId="10" borderId="12" xfId="0" applyFont="1" applyFill="1" applyBorder="1" applyAlignment="1">
      <alignment horizontal="left" vertical="center"/>
    </xf>
    <xf numFmtId="0" fontId="10" fillId="10" borderId="10" xfId="0" applyFont="1" applyFill="1" applyBorder="1" applyAlignment="1">
      <alignment horizontal="center" vertical="center"/>
    </xf>
    <xf numFmtId="0" fontId="10" fillId="10" borderId="12" xfId="0" applyFont="1" applyFill="1" applyBorder="1" applyAlignment="1">
      <alignment horizontal="center" vertical="center"/>
    </xf>
    <xf numFmtId="0" fontId="11" fillId="9" borderId="8" xfId="0" applyFont="1" applyFill="1" applyBorder="1" applyAlignment="1">
      <alignment vertical="center"/>
    </xf>
    <xf numFmtId="0" fontId="11" fillId="11" borderId="10" xfId="0" applyFont="1" applyFill="1" applyBorder="1" applyAlignment="1">
      <alignment vertical="center" wrapText="1"/>
    </xf>
    <xf numFmtId="0" fontId="12" fillId="0" borderId="8" xfId="0" applyFont="1" applyBorder="1" applyAlignment="1">
      <alignment vertical="center" wrapText="1"/>
    </xf>
    <xf numFmtId="0" fontId="13" fillId="0" borderId="12" xfId="0" applyFont="1" applyBorder="1" applyProtection="1">
      <protection locked="0"/>
    </xf>
    <xf numFmtId="0" fontId="0" fillId="0" borderId="8" xfId="0" applyBorder="1" applyProtection="1">
      <protection locked="0"/>
    </xf>
    <xf numFmtId="0" fontId="13" fillId="0" borderId="14" xfId="0" applyFont="1" applyBorder="1" applyProtection="1">
      <protection locked="0"/>
    </xf>
    <xf numFmtId="0" fontId="0" fillId="0" borderId="15" xfId="0" applyBorder="1" applyProtection="1">
      <protection locked="0"/>
    </xf>
    <xf numFmtId="0" fontId="0" fillId="0" borderId="15" xfId="0" applyBorder="1"/>
    <xf numFmtId="0" fontId="9" fillId="9" borderId="16" xfId="0" applyFont="1" applyFill="1" applyBorder="1" applyAlignment="1">
      <alignment vertical="center" wrapText="1"/>
    </xf>
    <xf numFmtId="0" fontId="14" fillId="9" borderId="17" xfId="0" applyFont="1" applyFill="1" applyBorder="1" applyAlignment="1">
      <alignment vertical="center" wrapText="1"/>
    </xf>
    <xf numFmtId="0" fontId="9" fillId="9" borderId="15" xfId="0" applyFont="1" applyFill="1" applyBorder="1" applyAlignment="1">
      <alignment vertical="center" wrapText="1"/>
    </xf>
    <xf numFmtId="0" fontId="15" fillId="9" borderId="18" xfId="0" applyFont="1" applyFill="1" applyBorder="1" applyAlignment="1" applyProtection="1">
      <alignment vertical="center"/>
      <protection locked="0"/>
    </xf>
    <xf numFmtId="0" fontId="15" fillId="9" borderId="19" xfId="0" applyFont="1" applyFill="1" applyBorder="1" applyAlignment="1" applyProtection="1">
      <alignment vertical="center"/>
      <protection locked="0"/>
    </xf>
    <xf numFmtId="0" fontId="15" fillId="9" borderId="14" xfId="0" applyFont="1" applyFill="1" applyBorder="1" applyAlignment="1" applyProtection="1">
      <alignment vertical="center"/>
      <protection locked="0"/>
    </xf>
    <xf numFmtId="0" fontId="9" fillId="9" borderId="16" xfId="0" applyFont="1" applyFill="1" applyBorder="1" applyAlignment="1">
      <alignment vertical="center" wrapText="1"/>
    </xf>
    <xf numFmtId="0" fontId="3" fillId="9" borderId="17" xfId="0" applyFont="1" applyFill="1" applyBorder="1" applyAlignment="1">
      <alignment vertical="center" wrapText="1"/>
    </xf>
    <xf numFmtId="0" fontId="11" fillId="11" borderId="8" xfId="0" applyFont="1" applyFill="1" applyBorder="1" applyAlignment="1">
      <alignment vertical="center" wrapText="1"/>
    </xf>
    <xf numFmtId="0" fontId="12" fillId="12" borderId="8" xfId="0" applyFont="1" applyFill="1" applyBorder="1" applyAlignment="1">
      <alignment vertical="center" wrapText="1"/>
    </xf>
    <xf numFmtId="0" fontId="13" fillId="12" borderId="10" xfId="0" applyFont="1" applyFill="1" applyBorder="1" applyAlignment="1">
      <alignment horizontal="center"/>
    </xf>
    <xf numFmtId="0" fontId="13" fillId="12" borderId="11" xfId="0" applyFont="1" applyFill="1" applyBorder="1" applyAlignment="1">
      <alignment horizontal="center"/>
    </xf>
    <xf numFmtId="0" fontId="13" fillId="12" borderId="12" xfId="0" applyFont="1" applyFill="1" applyBorder="1" applyAlignment="1">
      <alignment horizontal="center"/>
    </xf>
    <xf numFmtId="0" fontId="16" fillId="0" borderId="8" xfId="0" applyFont="1" applyBorder="1" applyAlignment="1">
      <alignment horizontal="left" vertical="center" wrapText="1" indent="1"/>
    </xf>
    <xf numFmtId="0" fontId="13" fillId="0" borderId="8" xfId="0" applyFont="1" applyBorder="1" applyProtection="1">
      <protection locked="0"/>
    </xf>
    <xf numFmtId="0" fontId="17" fillId="0" borderId="8" xfId="0" applyFont="1" applyBorder="1" applyAlignment="1">
      <alignment horizontal="left" vertical="center" wrapText="1" indent="1"/>
    </xf>
    <xf numFmtId="0" fontId="11" fillId="11" borderId="8" xfId="0" applyFont="1" applyFill="1" applyBorder="1" applyAlignment="1">
      <alignment vertical="center" wrapText="1"/>
    </xf>
    <xf numFmtId="0" fontId="9" fillId="9" borderId="8" xfId="0" applyFont="1" applyFill="1" applyBorder="1" applyAlignment="1">
      <alignment vertical="center" wrapText="1"/>
    </xf>
    <xf numFmtId="0" fontId="3" fillId="9" borderId="16" xfId="0" applyFont="1" applyFill="1" applyBorder="1" applyAlignment="1">
      <alignment vertical="center" wrapText="1"/>
    </xf>
    <xf numFmtId="0" fontId="11" fillId="10" borderId="10" xfId="0" applyFont="1" applyFill="1" applyBorder="1" applyAlignment="1">
      <alignment horizontal="left" vertical="center"/>
    </xf>
    <xf numFmtId="0" fontId="11" fillId="10" borderId="12" xfId="0" applyFont="1" applyFill="1" applyBorder="1" applyAlignment="1">
      <alignment horizontal="left" vertical="center"/>
    </xf>
    <xf numFmtId="0" fontId="11" fillId="10" borderId="10" xfId="0" applyFont="1" applyFill="1" applyBorder="1" applyAlignment="1">
      <alignment horizontal="center" vertical="center"/>
    </xf>
    <xf numFmtId="0" fontId="11" fillId="10" borderId="12" xfId="0" applyFont="1" applyFill="1" applyBorder="1" applyAlignment="1">
      <alignment horizontal="center" vertical="center"/>
    </xf>
    <xf numFmtId="0" fontId="16" fillId="0" borderId="8" xfId="0" applyFont="1" applyBorder="1" applyAlignment="1">
      <alignment horizontal="left" vertical="center" wrapText="1" indent="2"/>
    </xf>
    <xf numFmtId="0" fontId="20" fillId="0" borderId="8" xfId="0" applyFont="1" applyBorder="1" applyAlignment="1">
      <alignment vertical="center" wrapText="1"/>
    </xf>
    <xf numFmtId="0" fontId="12" fillId="0" borderId="8" xfId="0" applyFont="1" applyBorder="1" applyAlignment="1">
      <alignment horizontal="left" vertical="center" wrapText="1"/>
    </xf>
    <xf numFmtId="0" fontId="14" fillId="9" borderId="16" xfId="0" applyFont="1" applyFill="1" applyBorder="1" applyAlignment="1">
      <alignment horizontal="left" vertical="center" wrapText="1"/>
    </xf>
    <xf numFmtId="0" fontId="11" fillId="11" borderId="20" xfId="0" applyFont="1" applyFill="1" applyBorder="1" applyAlignment="1">
      <alignment horizontal="center" vertical="center" wrapText="1"/>
    </xf>
    <xf numFmtId="0" fontId="12" fillId="12" borderId="8" xfId="0" applyFont="1" applyFill="1" applyBorder="1" applyAlignment="1">
      <alignment horizontal="left" vertical="center" wrapText="1"/>
    </xf>
    <xf numFmtId="0" fontId="11" fillId="11" borderId="0" xfId="0" applyFont="1" applyFill="1" applyAlignment="1">
      <alignment horizontal="center" vertical="center" wrapText="1"/>
    </xf>
    <xf numFmtId="0" fontId="11" fillId="11" borderId="19" xfId="0" applyFont="1" applyFill="1" applyBorder="1" applyAlignment="1">
      <alignment horizontal="center" vertical="center" wrapText="1"/>
    </xf>
    <xf numFmtId="0" fontId="7" fillId="9" borderId="16" xfId="0" applyFont="1" applyFill="1" applyBorder="1" applyAlignment="1">
      <alignment vertical="center" wrapText="1"/>
    </xf>
    <xf numFmtId="0" fontId="20" fillId="0" borderId="8" xfId="0" applyFont="1" applyBorder="1" applyAlignment="1">
      <alignment horizontal="left" vertical="center" wrapText="1"/>
    </xf>
    <xf numFmtId="0" fontId="20" fillId="12" borderId="8" xfId="0" applyFont="1" applyFill="1" applyBorder="1" applyAlignment="1">
      <alignment horizontal="left" vertical="center" wrapText="1"/>
    </xf>
    <xf numFmtId="0" fontId="20" fillId="0" borderId="8" xfId="0" applyFont="1" applyBorder="1" applyAlignment="1">
      <alignment horizontal="left" vertical="center" wrapText="1" indent="1"/>
    </xf>
    <xf numFmtId="0" fontId="7" fillId="0" borderId="8" xfId="0" applyFont="1" applyBorder="1" applyAlignment="1">
      <alignment vertical="center" wrapText="1"/>
    </xf>
    <xf numFmtId="0" fontId="14" fillId="9" borderId="16" xfId="0" applyFont="1" applyFill="1" applyBorder="1" applyAlignment="1">
      <alignment vertical="center" wrapText="1"/>
    </xf>
    <xf numFmtId="0" fontId="14" fillId="9" borderId="16" xfId="0" applyFont="1" applyFill="1" applyBorder="1" applyAlignment="1">
      <alignment horizontal="justify" vertical="center" wrapText="1"/>
    </xf>
    <xf numFmtId="0" fontId="6" fillId="13" borderId="16" xfId="0" applyFont="1" applyFill="1" applyBorder="1" applyAlignment="1">
      <alignment vertical="center" wrapText="1"/>
    </xf>
    <xf numFmtId="0" fontId="7" fillId="13" borderId="16" xfId="0" applyFont="1" applyFill="1" applyBorder="1" applyAlignment="1">
      <alignment vertical="center" wrapText="1"/>
    </xf>
    <xf numFmtId="0" fontId="11" fillId="13" borderId="10" xfId="0" applyFont="1" applyFill="1" applyBorder="1" applyAlignment="1">
      <alignment horizontal="left" vertical="center"/>
    </xf>
    <xf numFmtId="0" fontId="11" fillId="13" borderId="12" xfId="0" applyFont="1" applyFill="1" applyBorder="1" applyAlignment="1">
      <alignment horizontal="left" vertical="center"/>
    </xf>
    <xf numFmtId="0" fontId="11" fillId="13" borderId="10" xfId="0" applyFont="1" applyFill="1" applyBorder="1" applyAlignment="1">
      <alignment horizontal="center" vertical="center"/>
    </xf>
    <xf numFmtId="0" fontId="11" fillId="13" borderId="12" xfId="0" applyFont="1" applyFill="1" applyBorder="1" applyAlignment="1">
      <alignment horizontal="center" vertical="center"/>
    </xf>
    <xf numFmtId="0" fontId="6" fillId="11" borderId="8" xfId="0" applyFont="1" applyFill="1" applyBorder="1" applyAlignment="1">
      <alignment vertical="center" wrapText="1"/>
    </xf>
    <xf numFmtId="0" fontId="6" fillId="13" borderId="8" xfId="0" applyFont="1" applyFill="1" applyBorder="1" applyAlignment="1">
      <alignment vertical="center" wrapText="1"/>
    </xf>
    <xf numFmtId="0" fontId="3" fillId="13" borderId="16" xfId="0" applyFont="1" applyFill="1" applyBorder="1" applyAlignment="1">
      <alignment horizontal="left" vertical="center" wrapText="1"/>
    </xf>
    <xf numFmtId="0" fontId="22" fillId="0" borderId="0" xfId="0" applyFont="1"/>
  </cellXfs>
  <cellStyles count="2">
    <cellStyle name="Neutral" xfId="1"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F154"/>
  <sheetViews>
    <sheetView tabSelected="1" topLeftCell="A133" workbookViewId="0">
      <selection sqref="A1:XFD1048576"/>
    </sheetView>
  </sheetViews>
  <sheetFormatPr defaultColWidth="11" defaultRowHeight="18"/>
  <cols>
    <col min="1" max="1" width="18.59765625" customWidth="1"/>
    <col min="2" max="2" width="80.8984375" style="84" customWidth="1"/>
    <col min="3" max="3" width="17.09765625" customWidth="1"/>
    <col min="4" max="5" width="70.59765625" customWidth="1"/>
    <col min="6" max="6" width="11" hidden="1" customWidth="1"/>
    <col min="7" max="7" width="9.19921875" hidden="1" customWidth="1"/>
  </cols>
  <sheetData>
    <row r="1" spans="1:32" ht="30" customHeight="1">
      <c r="A1" s="1" t="s">
        <v>0</v>
      </c>
      <c r="B1" s="2"/>
      <c r="C1" s="2"/>
      <c r="D1" s="2"/>
      <c r="E1" s="3"/>
    </row>
    <row r="2" spans="1:32" ht="32.25" customHeight="1">
      <c r="A2" s="4" t="s">
        <v>1</v>
      </c>
      <c r="B2" s="5"/>
      <c r="C2" s="5"/>
      <c r="D2" s="5"/>
      <c r="E2" s="6"/>
    </row>
    <row r="3" spans="1:32" ht="34.5" customHeight="1">
      <c r="A3" s="7" t="s">
        <v>2</v>
      </c>
      <c r="B3" s="8"/>
      <c r="C3" s="8"/>
      <c r="D3" s="8"/>
      <c r="E3" s="9"/>
    </row>
    <row r="4" spans="1:32" ht="24" thickBot="1">
      <c r="A4" s="10"/>
      <c r="B4" s="11"/>
      <c r="C4" s="12" t="str">
        <f>"Total Score: "&amp;ROUND((AA4/AB4)*100,2)&amp;"%"</f>
        <v>Total Score: 0%</v>
      </c>
      <c r="D4" s="13"/>
      <c r="E4" s="14"/>
      <c r="AA4">
        <f>SUM(AA7:AA154)+SUM(AB7:AB154)*0.5</f>
        <v>0</v>
      </c>
      <c r="AB4">
        <f>COUNT(AA7:AA154)-SUM(AB7:AD154)</f>
        <v>126</v>
      </c>
    </row>
    <row r="5" spans="1:32" ht="42.9" customHeight="1" thickTop="1" thickBot="1">
      <c r="A5" s="15" t="s">
        <v>3</v>
      </c>
      <c r="B5" s="16" t="s">
        <v>4</v>
      </c>
      <c r="C5" s="17" t="s">
        <v>5</v>
      </c>
      <c r="D5" s="17" t="s">
        <v>6</v>
      </c>
      <c r="E5" s="17" t="s">
        <v>7</v>
      </c>
      <c r="F5" s="18"/>
      <c r="G5" s="18"/>
      <c r="H5" s="19"/>
    </row>
    <row r="6" spans="1:32" ht="27.9" customHeight="1" thickTop="1" thickBot="1">
      <c r="A6" s="20" t="s">
        <v>8</v>
      </c>
      <c r="B6" s="21"/>
      <c r="C6" s="21"/>
      <c r="D6" s="21"/>
      <c r="E6" s="21"/>
      <c r="F6" s="22"/>
      <c r="G6" s="18"/>
      <c r="H6" s="19"/>
    </row>
    <row r="7" spans="1:32" ht="24" thickTop="1" thickBot="1">
      <c r="A7" s="23" t="s">
        <v>9</v>
      </c>
      <c r="B7" s="24" t="s">
        <v>10</v>
      </c>
      <c r="C7" s="25" t="s">
        <v>11</v>
      </c>
      <c r="D7" s="26"/>
      <c r="E7" s="27" t="str">
        <f>"Quotation: "&amp;ROUND((AE7/AF7)*100,2)&amp;"%"</f>
        <v>Quotation: 0%</v>
      </c>
      <c r="F7" s="28"/>
      <c r="G7" s="29"/>
      <c r="H7" s="19"/>
      <c r="AE7">
        <f>SUM(AA8:AA10)+SUM(AB8:AB10)*0.5</f>
        <v>0</v>
      </c>
      <c r="AF7">
        <f>COUNT(AA8:AA10)-SUM(AD8:AD10)</f>
        <v>3</v>
      </c>
    </row>
    <row r="8" spans="1:32" ht="55.2" thickTop="1" thickBot="1">
      <c r="A8" s="30" t="s">
        <v>12</v>
      </c>
      <c r="B8" s="31" t="s">
        <v>13</v>
      </c>
      <c r="C8" s="32"/>
      <c r="D8" s="33"/>
      <c r="E8" s="33"/>
      <c r="F8" s="18"/>
      <c r="G8" s="18"/>
      <c r="AA8">
        <f>IF(C8="Met",1,0)</f>
        <v>0</v>
      </c>
      <c r="AB8">
        <f>IF(C8="Partially Met",1,0)</f>
        <v>0</v>
      </c>
      <c r="AC8">
        <f>IF(C8="UnMet",1,0)</f>
        <v>0</v>
      </c>
      <c r="AD8">
        <f>IF(C8="Not Applicable",1,0)</f>
        <v>0</v>
      </c>
    </row>
    <row r="9" spans="1:32" ht="37.200000000000003" thickTop="1" thickBot="1">
      <c r="A9" s="30" t="s">
        <v>14</v>
      </c>
      <c r="B9" s="31" t="s">
        <v>15</v>
      </c>
      <c r="C9" s="34"/>
      <c r="D9" s="35"/>
      <c r="E9" s="33"/>
      <c r="F9" s="18"/>
      <c r="G9" s="36"/>
      <c r="AA9">
        <f>IF(C9="Met",1,0)</f>
        <v>0</v>
      </c>
      <c r="AB9">
        <f>IF(C9="Partially Met",1,0)</f>
        <v>0</v>
      </c>
      <c r="AC9">
        <f>IF(C9="UnMet",1,0)</f>
        <v>0</v>
      </c>
      <c r="AD9">
        <f>IF(C9="Not Applicable",1,0)</f>
        <v>0</v>
      </c>
    </row>
    <row r="10" spans="1:32" ht="37.200000000000003" thickTop="1" thickBot="1">
      <c r="A10" s="30" t="s">
        <v>16</v>
      </c>
      <c r="B10" s="31" t="s">
        <v>17</v>
      </c>
      <c r="C10" s="32"/>
      <c r="D10" s="33"/>
      <c r="E10" s="33"/>
      <c r="F10" s="18"/>
      <c r="G10" s="18"/>
      <c r="H10" s="19"/>
      <c r="AA10">
        <f>IF(C10="Met",1,0)</f>
        <v>0</v>
      </c>
      <c r="AB10">
        <f>IF(C10="Partially Met",1,0)</f>
        <v>0</v>
      </c>
      <c r="AC10">
        <f>IF(C10="UnMet",1,0)</f>
        <v>0</v>
      </c>
      <c r="AD10">
        <f>IF(C10="Not Applicable",1,0)</f>
        <v>0</v>
      </c>
    </row>
    <row r="11" spans="1:32" ht="47.25" customHeight="1" thickTop="1" thickBot="1">
      <c r="A11" s="37" t="s">
        <v>18</v>
      </c>
      <c r="B11" s="38" t="s">
        <v>19</v>
      </c>
      <c r="C11" s="25" t="s">
        <v>20</v>
      </c>
      <c r="D11" s="26"/>
      <c r="E11" s="27" t="str">
        <f>"Quotation: "&amp;ROUND((AE11/AF11)*100,2)&amp;"%"</f>
        <v>Quotation: 0%</v>
      </c>
      <c r="F11" s="28"/>
      <c r="G11" s="18"/>
      <c r="H11" s="19"/>
      <c r="AE11">
        <f>SUM(AA12:AA18)+SUM(AB12:AB18)*0.5</f>
        <v>0</v>
      </c>
      <c r="AF11">
        <f>COUNT(AA12:AA18)-SUM(AD12:AD18)</f>
        <v>7</v>
      </c>
    </row>
    <row r="12" spans="1:32" ht="16.5" hidden="1" customHeight="1">
      <c r="A12" s="39"/>
      <c r="B12" s="38"/>
      <c r="C12" s="40"/>
      <c r="D12" s="41"/>
      <c r="E12" s="42"/>
      <c r="F12" s="18"/>
      <c r="G12" s="18"/>
      <c r="AA12">
        <f t="shared" ref="AA12:AA18" si="0">IF(C12="Met",1,0)</f>
        <v>0</v>
      </c>
      <c r="AB12">
        <f t="shared" ref="AB12:AB18" si="1">IF(C12="Partially Met",1,0)</f>
        <v>0</v>
      </c>
      <c r="AC12">
        <f t="shared" ref="AC12:AC18" si="2">IF(C12="UnMet",1,0)</f>
        <v>0</v>
      </c>
      <c r="AD12">
        <f t="shared" ref="AD12:AD18" si="3">IF(C12="Not Applicable",1,0)</f>
        <v>0</v>
      </c>
    </row>
    <row r="13" spans="1:32" ht="29.25" customHeight="1" thickTop="1" thickBot="1">
      <c r="A13" s="30" t="s">
        <v>21</v>
      </c>
      <c r="B13" s="31" t="s">
        <v>22</v>
      </c>
      <c r="C13" s="32"/>
      <c r="D13" s="33"/>
      <c r="E13" s="33"/>
      <c r="F13" s="18"/>
      <c r="G13" s="18"/>
      <c r="AA13">
        <f t="shared" si="0"/>
        <v>0</v>
      </c>
      <c r="AB13">
        <f t="shared" si="1"/>
        <v>0</v>
      </c>
      <c r="AC13">
        <f t="shared" si="2"/>
        <v>0</v>
      </c>
      <c r="AD13">
        <f t="shared" si="3"/>
        <v>0</v>
      </c>
    </row>
    <row r="14" spans="1:32" ht="73.2" thickTop="1" thickBot="1">
      <c r="A14" s="30" t="s">
        <v>23</v>
      </c>
      <c r="B14" s="31" t="s">
        <v>24</v>
      </c>
      <c r="C14" s="32"/>
      <c r="D14" s="33"/>
      <c r="E14" s="33"/>
      <c r="F14" s="18"/>
      <c r="G14" s="18"/>
      <c r="AA14">
        <f t="shared" si="0"/>
        <v>0</v>
      </c>
      <c r="AB14">
        <f t="shared" si="1"/>
        <v>0</v>
      </c>
      <c r="AC14">
        <f t="shared" si="2"/>
        <v>0</v>
      </c>
      <c r="AD14">
        <f t="shared" si="3"/>
        <v>0</v>
      </c>
    </row>
    <row r="15" spans="1:32" ht="37.200000000000003" thickTop="1" thickBot="1">
      <c r="A15" s="30" t="s">
        <v>25</v>
      </c>
      <c r="B15" s="31" t="s">
        <v>26</v>
      </c>
      <c r="C15" s="32"/>
      <c r="D15" s="33"/>
      <c r="E15" s="33"/>
      <c r="F15" s="18"/>
      <c r="G15" s="18"/>
      <c r="AA15">
        <f t="shared" si="0"/>
        <v>0</v>
      </c>
      <c r="AB15">
        <f t="shared" si="1"/>
        <v>0</v>
      </c>
      <c r="AC15">
        <f t="shared" si="2"/>
        <v>0</v>
      </c>
      <c r="AD15">
        <f t="shared" si="3"/>
        <v>0</v>
      </c>
    </row>
    <row r="16" spans="1:32" ht="37.200000000000003" thickTop="1" thickBot="1">
      <c r="A16" s="30" t="s">
        <v>27</v>
      </c>
      <c r="B16" s="31" t="s">
        <v>28</v>
      </c>
      <c r="C16" s="32"/>
      <c r="D16" s="33"/>
      <c r="E16" s="33"/>
      <c r="F16" s="18"/>
      <c r="G16" s="18"/>
      <c r="AA16">
        <f t="shared" si="0"/>
        <v>0</v>
      </c>
      <c r="AB16">
        <f t="shared" si="1"/>
        <v>0</v>
      </c>
      <c r="AC16">
        <f t="shared" si="2"/>
        <v>0</v>
      </c>
      <c r="AD16">
        <f t="shared" si="3"/>
        <v>0</v>
      </c>
    </row>
    <row r="17" spans="1:32" ht="37.200000000000003" thickTop="1" thickBot="1">
      <c r="A17" s="30" t="s">
        <v>29</v>
      </c>
      <c r="B17" s="31" t="s">
        <v>30</v>
      </c>
      <c r="C17" s="32"/>
      <c r="D17" s="33"/>
      <c r="E17" s="33"/>
      <c r="F17" s="18"/>
      <c r="G17" s="18"/>
      <c r="AA17">
        <f t="shared" si="0"/>
        <v>0</v>
      </c>
      <c r="AB17">
        <f t="shared" si="1"/>
        <v>0</v>
      </c>
      <c r="AC17">
        <f t="shared" si="2"/>
        <v>0</v>
      </c>
      <c r="AD17">
        <f t="shared" si="3"/>
        <v>0</v>
      </c>
    </row>
    <row r="18" spans="1:32" ht="37.200000000000003" thickTop="1" thickBot="1">
      <c r="A18" s="30" t="s">
        <v>31</v>
      </c>
      <c r="B18" s="31" t="s">
        <v>32</v>
      </c>
      <c r="C18" s="32"/>
      <c r="D18" s="33"/>
      <c r="E18" s="33"/>
      <c r="F18" s="18"/>
      <c r="G18" s="18"/>
      <c r="H18" s="19"/>
      <c r="AA18">
        <f t="shared" si="0"/>
        <v>0</v>
      </c>
      <c r="AB18">
        <f t="shared" si="1"/>
        <v>0</v>
      </c>
      <c r="AC18">
        <f t="shared" si="2"/>
        <v>0</v>
      </c>
      <c r="AD18">
        <f t="shared" si="3"/>
        <v>0</v>
      </c>
    </row>
    <row r="19" spans="1:32" ht="56.1" customHeight="1" thickTop="1" thickBot="1">
      <c r="A19" s="43" t="s">
        <v>33</v>
      </c>
      <c r="B19" s="44" t="s">
        <v>34</v>
      </c>
      <c r="C19" s="25" t="s">
        <v>35</v>
      </c>
      <c r="D19" s="26"/>
      <c r="E19" s="27" t="str">
        <f>"Quotation: "&amp;ROUND((AE19/AF19)*100,2)&amp;"%"</f>
        <v>Quotation: 0%</v>
      </c>
      <c r="F19" s="28"/>
      <c r="G19" s="18"/>
      <c r="H19" s="19"/>
      <c r="AE19">
        <f>SUM(AA20:AA34)+SUM(AB20:AB34)*0.5</f>
        <v>0</v>
      </c>
      <c r="AF19">
        <f>COUNT(AA20:AA34)-SUM(AD20:AD34)</f>
        <v>14</v>
      </c>
    </row>
    <row r="20" spans="1:32" ht="37.200000000000003" thickTop="1" thickBot="1">
      <c r="A20" s="45" t="s">
        <v>36</v>
      </c>
      <c r="B20" s="46" t="s">
        <v>37</v>
      </c>
      <c r="C20" s="47"/>
      <c r="D20" s="48"/>
      <c r="E20" s="49"/>
      <c r="F20" s="18"/>
      <c r="G20" s="18"/>
      <c r="H20" s="19"/>
    </row>
    <row r="21" spans="1:32" ht="37.200000000000003" thickTop="1" thickBot="1">
      <c r="A21" s="45"/>
      <c r="B21" s="50" t="s">
        <v>38</v>
      </c>
      <c r="C21" s="51"/>
      <c r="D21" s="33"/>
      <c r="E21" s="33"/>
      <c r="F21" s="18"/>
      <c r="G21" s="18"/>
      <c r="AA21">
        <f t="shared" ref="AA21:AA34" si="4">IF(C21="Met",1,0)</f>
        <v>0</v>
      </c>
      <c r="AB21">
        <f t="shared" ref="AB21:AB34" si="5">IF(C21="Partially Met",1,0)</f>
        <v>0</v>
      </c>
      <c r="AC21">
        <f t="shared" ref="AC21:AC34" si="6">IF(C21="UnMet",1,0)</f>
        <v>0</v>
      </c>
      <c r="AD21">
        <f t="shared" ref="AD21:AD34" si="7">IF(C21="Not Applicable",1,0)</f>
        <v>0</v>
      </c>
    </row>
    <row r="22" spans="1:32" ht="22.2" thickTop="1" thickBot="1">
      <c r="A22" s="45"/>
      <c r="B22" s="50" t="s">
        <v>39</v>
      </c>
      <c r="C22" s="51"/>
      <c r="D22" s="33"/>
      <c r="E22" s="33"/>
      <c r="F22" s="18"/>
      <c r="G22" s="18"/>
      <c r="AA22">
        <f t="shared" si="4"/>
        <v>0</v>
      </c>
      <c r="AB22">
        <f t="shared" si="5"/>
        <v>0</v>
      </c>
      <c r="AC22">
        <f t="shared" si="6"/>
        <v>0</v>
      </c>
      <c r="AD22">
        <f t="shared" si="7"/>
        <v>0</v>
      </c>
    </row>
    <row r="23" spans="1:32" ht="22.2" thickTop="1" thickBot="1">
      <c r="A23" s="45"/>
      <c r="B23" s="50" t="s">
        <v>40</v>
      </c>
      <c r="C23" s="51"/>
      <c r="D23" s="33"/>
      <c r="E23" s="33"/>
      <c r="F23" s="18"/>
      <c r="G23" s="18"/>
      <c r="AA23">
        <f t="shared" si="4"/>
        <v>0</v>
      </c>
      <c r="AB23">
        <f t="shared" si="5"/>
        <v>0</v>
      </c>
      <c r="AC23">
        <f t="shared" si="6"/>
        <v>0</v>
      </c>
      <c r="AD23">
        <f t="shared" si="7"/>
        <v>0</v>
      </c>
    </row>
    <row r="24" spans="1:32" ht="22.2" thickTop="1" thickBot="1">
      <c r="A24" s="45"/>
      <c r="B24" s="50" t="s">
        <v>41</v>
      </c>
      <c r="C24" s="51"/>
      <c r="D24" s="33"/>
      <c r="E24" s="33"/>
      <c r="F24" s="18"/>
      <c r="G24" s="18"/>
      <c r="AA24">
        <f t="shared" si="4"/>
        <v>0</v>
      </c>
      <c r="AB24">
        <f t="shared" si="5"/>
        <v>0</v>
      </c>
      <c r="AC24">
        <f t="shared" si="6"/>
        <v>0</v>
      </c>
      <c r="AD24">
        <f t="shared" si="7"/>
        <v>0</v>
      </c>
    </row>
    <row r="25" spans="1:32" ht="22.2" thickTop="1" thickBot="1">
      <c r="A25" s="45"/>
      <c r="B25" s="50" t="s">
        <v>42</v>
      </c>
      <c r="C25" s="51"/>
      <c r="D25" s="33"/>
      <c r="E25" s="33"/>
      <c r="F25" s="18"/>
      <c r="G25" s="18"/>
      <c r="AA25">
        <f t="shared" si="4"/>
        <v>0</v>
      </c>
      <c r="AB25">
        <f t="shared" si="5"/>
        <v>0</v>
      </c>
      <c r="AC25">
        <f t="shared" si="6"/>
        <v>0</v>
      </c>
      <c r="AD25">
        <f t="shared" si="7"/>
        <v>0</v>
      </c>
    </row>
    <row r="26" spans="1:32" ht="37.200000000000003" thickTop="1" thickBot="1">
      <c r="A26" s="45"/>
      <c r="B26" s="50" t="s">
        <v>43</v>
      </c>
      <c r="C26" s="51"/>
      <c r="D26" s="33"/>
      <c r="E26" s="33"/>
      <c r="F26" s="18"/>
      <c r="G26" s="18"/>
      <c r="AA26">
        <f t="shared" si="4"/>
        <v>0</v>
      </c>
      <c r="AB26">
        <f t="shared" si="5"/>
        <v>0</v>
      </c>
      <c r="AC26">
        <f t="shared" si="6"/>
        <v>0</v>
      </c>
      <c r="AD26">
        <f t="shared" si="7"/>
        <v>0</v>
      </c>
    </row>
    <row r="27" spans="1:32" ht="22.2" thickTop="1" thickBot="1">
      <c r="A27" s="45"/>
      <c r="B27" s="52" t="s">
        <v>44</v>
      </c>
      <c r="C27" s="51"/>
      <c r="D27" s="33"/>
      <c r="E27" s="33"/>
      <c r="F27" s="18"/>
      <c r="G27" s="18"/>
      <c r="AA27">
        <f t="shared" si="4"/>
        <v>0</v>
      </c>
      <c r="AB27">
        <f t="shared" si="5"/>
        <v>0</v>
      </c>
      <c r="AC27">
        <f t="shared" si="6"/>
        <v>0</v>
      </c>
      <c r="AD27">
        <f t="shared" si="7"/>
        <v>0</v>
      </c>
    </row>
    <row r="28" spans="1:32" ht="37.200000000000003" thickTop="1" thickBot="1">
      <c r="A28" s="53" t="s">
        <v>45</v>
      </c>
      <c r="B28" s="31" t="s">
        <v>46</v>
      </c>
      <c r="C28" s="51"/>
      <c r="D28" s="33"/>
      <c r="E28" s="33"/>
      <c r="F28" s="18"/>
      <c r="G28" s="18"/>
      <c r="AA28">
        <f t="shared" si="4"/>
        <v>0</v>
      </c>
      <c r="AB28">
        <f t="shared" si="5"/>
        <v>0</v>
      </c>
      <c r="AC28">
        <f t="shared" si="6"/>
        <v>0</v>
      </c>
      <c r="AD28">
        <f t="shared" si="7"/>
        <v>0</v>
      </c>
    </row>
    <row r="29" spans="1:32" ht="37.200000000000003" thickTop="1" thickBot="1">
      <c r="A29" s="53" t="s">
        <v>47</v>
      </c>
      <c r="B29" s="31" t="s">
        <v>48</v>
      </c>
      <c r="C29" s="51"/>
      <c r="D29" s="33"/>
      <c r="E29" s="33"/>
      <c r="F29" s="18"/>
      <c r="G29" s="18"/>
      <c r="AA29">
        <f t="shared" si="4"/>
        <v>0</v>
      </c>
      <c r="AB29">
        <f t="shared" si="5"/>
        <v>0</v>
      </c>
      <c r="AC29">
        <f t="shared" si="6"/>
        <v>0</v>
      </c>
      <c r="AD29">
        <f t="shared" si="7"/>
        <v>0</v>
      </c>
    </row>
    <row r="30" spans="1:32" ht="22.2" thickTop="1" thickBot="1">
      <c r="A30" s="53" t="s">
        <v>49</v>
      </c>
      <c r="B30" s="31" t="s">
        <v>50</v>
      </c>
      <c r="C30" s="51"/>
      <c r="D30" s="33"/>
      <c r="E30" s="33"/>
      <c r="F30" s="18"/>
      <c r="G30" s="18"/>
      <c r="AA30">
        <f t="shared" si="4"/>
        <v>0</v>
      </c>
      <c r="AB30">
        <f t="shared" si="5"/>
        <v>0</v>
      </c>
      <c r="AC30">
        <f t="shared" si="6"/>
        <v>0</v>
      </c>
      <c r="AD30">
        <f t="shared" si="7"/>
        <v>0</v>
      </c>
    </row>
    <row r="31" spans="1:32" ht="37.200000000000003" thickTop="1" thickBot="1">
      <c r="A31" s="53" t="s">
        <v>51</v>
      </c>
      <c r="B31" s="31" t="s">
        <v>52</v>
      </c>
      <c r="C31" s="51"/>
      <c r="D31" s="33"/>
      <c r="E31" s="33"/>
      <c r="F31" s="18"/>
      <c r="G31" s="18"/>
      <c r="AA31">
        <f t="shared" si="4"/>
        <v>0</v>
      </c>
      <c r="AB31">
        <f t="shared" si="5"/>
        <v>0</v>
      </c>
      <c r="AC31">
        <f t="shared" si="6"/>
        <v>0</v>
      </c>
      <c r="AD31">
        <f t="shared" si="7"/>
        <v>0</v>
      </c>
    </row>
    <row r="32" spans="1:32" ht="37.200000000000003" thickTop="1" thickBot="1">
      <c r="A32" s="53" t="s">
        <v>53</v>
      </c>
      <c r="B32" s="31" t="s">
        <v>54</v>
      </c>
      <c r="C32" s="51"/>
      <c r="D32" s="33"/>
      <c r="E32" s="33"/>
      <c r="F32" s="18"/>
      <c r="G32" s="18"/>
      <c r="AA32">
        <f t="shared" si="4"/>
        <v>0</v>
      </c>
      <c r="AB32">
        <f t="shared" si="5"/>
        <v>0</v>
      </c>
      <c r="AC32">
        <f t="shared" si="6"/>
        <v>0</v>
      </c>
      <c r="AD32">
        <f t="shared" si="7"/>
        <v>0</v>
      </c>
    </row>
    <row r="33" spans="1:32" ht="22.2" thickTop="1" thickBot="1">
      <c r="A33" s="53" t="s">
        <v>55</v>
      </c>
      <c r="B33" s="31" t="s">
        <v>56</v>
      </c>
      <c r="C33" s="51"/>
      <c r="D33" s="33"/>
      <c r="E33" s="33"/>
      <c r="F33" s="18"/>
      <c r="G33" s="18"/>
      <c r="AA33">
        <f t="shared" si="4"/>
        <v>0</v>
      </c>
      <c r="AB33">
        <f t="shared" si="5"/>
        <v>0</v>
      </c>
      <c r="AC33">
        <f t="shared" si="6"/>
        <v>0</v>
      </c>
      <c r="AD33">
        <f t="shared" si="7"/>
        <v>0</v>
      </c>
    </row>
    <row r="34" spans="1:32" ht="37.200000000000003" thickTop="1" thickBot="1">
      <c r="A34" s="53" t="s">
        <v>57</v>
      </c>
      <c r="B34" s="31" t="s">
        <v>58</v>
      </c>
      <c r="C34" s="51"/>
      <c r="D34" s="33"/>
      <c r="E34" s="33"/>
      <c r="F34" s="18"/>
      <c r="G34" s="18"/>
      <c r="AA34">
        <f t="shared" si="4"/>
        <v>0</v>
      </c>
      <c r="AB34">
        <f t="shared" si="5"/>
        <v>0</v>
      </c>
      <c r="AC34">
        <f t="shared" si="6"/>
        <v>0</v>
      </c>
      <c r="AD34">
        <f t="shared" si="7"/>
        <v>0</v>
      </c>
    </row>
    <row r="35" spans="1:32" ht="63" customHeight="1" thickTop="1" thickBot="1">
      <c r="A35" s="54" t="s">
        <v>59</v>
      </c>
      <c r="B35" s="55" t="s">
        <v>60</v>
      </c>
      <c r="C35" s="56" t="s">
        <v>20</v>
      </c>
      <c r="D35" s="57"/>
      <c r="E35" s="58" t="str">
        <f>"Quotation: "&amp;ROUND((AE35/AF35)*100,2)&amp;"%"</f>
        <v>Quotation: 0%</v>
      </c>
      <c r="F35" s="59"/>
      <c r="G35" s="18"/>
      <c r="H35" s="19"/>
      <c r="AE35">
        <f>SUM(AA36:AA41)+SUM(AB36:AB41)*0.5</f>
        <v>0</v>
      </c>
      <c r="AF35">
        <f>COUNT(AA36:AA41)-SUM(AD36:AD41)</f>
        <v>6</v>
      </c>
    </row>
    <row r="36" spans="1:32" ht="22.2" thickTop="1" thickBot="1">
      <c r="A36" s="53" t="s">
        <v>61</v>
      </c>
      <c r="B36" s="31" t="s">
        <v>62</v>
      </c>
      <c r="C36" s="51"/>
      <c r="D36" s="33"/>
      <c r="E36" s="33"/>
      <c r="F36" s="18"/>
      <c r="G36" s="18"/>
      <c r="AA36">
        <f t="shared" ref="AA36:AA41" si="8">IF(C36="Met",1,0)</f>
        <v>0</v>
      </c>
      <c r="AB36">
        <f t="shared" ref="AB36:AB41" si="9">IF(C36="Partially Met",1,0)</f>
        <v>0</v>
      </c>
      <c r="AC36">
        <f t="shared" ref="AC36:AC41" si="10">IF(C36="UnMet",1,0)</f>
        <v>0</v>
      </c>
      <c r="AD36">
        <f t="shared" ref="AD36:AD41" si="11">IF(C36="Not Applicable",1,0)</f>
        <v>0</v>
      </c>
    </row>
    <row r="37" spans="1:32" ht="22.2" thickTop="1" thickBot="1">
      <c r="A37" s="53" t="s">
        <v>63</v>
      </c>
      <c r="B37" s="31" t="s">
        <v>64</v>
      </c>
      <c r="C37" s="51"/>
      <c r="D37" s="33"/>
      <c r="E37" s="33"/>
      <c r="F37" s="18"/>
      <c r="G37" s="18"/>
      <c r="AA37">
        <f t="shared" si="8"/>
        <v>0</v>
      </c>
      <c r="AB37">
        <f t="shared" si="9"/>
        <v>0</v>
      </c>
      <c r="AC37">
        <f t="shared" si="10"/>
        <v>0</v>
      </c>
      <c r="AD37">
        <f t="shared" si="11"/>
        <v>0</v>
      </c>
    </row>
    <row r="38" spans="1:32" ht="55.2" thickTop="1" thickBot="1">
      <c r="A38" s="53" t="s">
        <v>65</v>
      </c>
      <c r="B38" s="31" t="s">
        <v>66</v>
      </c>
      <c r="C38" s="51"/>
      <c r="D38" s="33"/>
      <c r="E38" s="33"/>
      <c r="F38" s="18"/>
      <c r="G38" s="18"/>
      <c r="AA38">
        <f t="shared" si="8"/>
        <v>0</v>
      </c>
      <c r="AB38">
        <f t="shared" si="9"/>
        <v>0</v>
      </c>
      <c r="AC38">
        <f t="shared" si="10"/>
        <v>0</v>
      </c>
      <c r="AD38">
        <f t="shared" si="11"/>
        <v>0</v>
      </c>
    </row>
    <row r="39" spans="1:32" ht="37.200000000000003" thickTop="1" thickBot="1">
      <c r="A39" s="53" t="s">
        <v>67</v>
      </c>
      <c r="B39" s="31" t="s">
        <v>68</v>
      </c>
      <c r="C39" s="51"/>
      <c r="D39" s="33"/>
      <c r="E39" s="33"/>
      <c r="F39" s="18"/>
      <c r="G39" s="18"/>
      <c r="AA39">
        <f t="shared" si="8"/>
        <v>0</v>
      </c>
      <c r="AB39">
        <f t="shared" si="9"/>
        <v>0</v>
      </c>
      <c r="AC39">
        <f t="shared" si="10"/>
        <v>0</v>
      </c>
      <c r="AD39">
        <f t="shared" si="11"/>
        <v>0</v>
      </c>
    </row>
    <row r="40" spans="1:32" ht="55.2" thickTop="1" thickBot="1">
      <c r="A40" s="53" t="s">
        <v>69</v>
      </c>
      <c r="B40" s="31" t="s">
        <v>70</v>
      </c>
      <c r="C40" s="51"/>
      <c r="D40" s="33"/>
      <c r="E40" s="33"/>
      <c r="F40" s="18"/>
      <c r="G40" s="18"/>
      <c r="AA40">
        <f t="shared" si="8"/>
        <v>0</v>
      </c>
      <c r="AB40">
        <f t="shared" si="9"/>
        <v>0</v>
      </c>
      <c r="AC40">
        <f t="shared" si="10"/>
        <v>0</v>
      </c>
      <c r="AD40">
        <f t="shared" si="11"/>
        <v>0</v>
      </c>
    </row>
    <row r="41" spans="1:32" ht="37.200000000000003" thickTop="1" thickBot="1">
      <c r="A41" s="53" t="s">
        <v>71</v>
      </c>
      <c r="B41" s="31" t="s">
        <v>72</v>
      </c>
      <c r="C41" s="51"/>
      <c r="D41" s="33"/>
      <c r="E41" s="33"/>
      <c r="F41" s="18"/>
      <c r="G41" s="18"/>
      <c r="AA41">
        <f t="shared" si="8"/>
        <v>0</v>
      </c>
      <c r="AB41">
        <f t="shared" si="9"/>
        <v>0</v>
      </c>
      <c r="AC41">
        <f t="shared" si="10"/>
        <v>0</v>
      </c>
      <c r="AD41">
        <f t="shared" si="11"/>
        <v>0</v>
      </c>
    </row>
    <row r="42" spans="1:32" ht="77.25" customHeight="1" thickTop="1" thickBot="1">
      <c r="A42" s="43" t="s">
        <v>73</v>
      </c>
      <c r="B42" s="55" t="s">
        <v>74</v>
      </c>
      <c r="C42" s="56" t="s">
        <v>75</v>
      </c>
      <c r="D42" s="57"/>
      <c r="E42" s="58" t="str">
        <f>"Quotation: "&amp;ROUND((AE42/AF42)*100,2)&amp;"%"</f>
        <v>Quotation: 0%</v>
      </c>
      <c r="F42" s="59"/>
      <c r="G42" s="18"/>
      <c r="H42" s="19"/>
      <c r="AE42">
        <f>SUM(AA43:AA60)+SUM(AB43:AB60)*0.5</f>
        <v>0</v>
      </c>
      <c r="AF42">
        <f>COUNT(AA43:AA60)-SUM(AD43:AD60)</f>
        <v>16</v>
      </c>
    </row>
    <row r="43" spans="1:32" ht="55.2" thickTop="1" thickBot="1">
      <c r="A43" s="45" t="s">
        <v>76</v>
      </c>
      <c r="B43" s="46" t="s">
        <v>77</v>
      </c>
      <c r="C43" s="47"/>
      <c r="D43" s="48"/>
      <c r="E43" s="49"/>
      <c r="F43" s="18"/>
      <c r="G43" s="18"/>
    </row>
    <row r="44" spans="1:32" ht="22.2" thickTop="1" thickBot="1">
      <c r="A44" s="45"/>
      <c r="B44" s="31" t="s">
        <v>78</v>
      </c>
      <c r="C44" s="51"/>
      <c r="D44" s="33"/>
      <c r="E44" s="33"/>
      <c r="F44" s="18"/>
      <c r="G44" s="18"/>
      <c r="AA44">
        <f t="shared" ref="AA44:AA51" si="12">IF(C44="Met",1,0)</f>
        <v>0</v>
      </c>
      <c r="AB44">
        <f t="shared" ref="AB44:AB51" si="13">IF(C44="Partially Met",1,0)</f>
        <v>0</v>
      </c>
      <c r="AC44">
        <f t="shared" ref="AC44:AC51" si="14">IF(C44="UnMet",1,0)</f>
        <v>0</v>
      </c>
      <c r="AD44">
        <f t="shared" ref="AD44:AD51" si="15">IF(C44="Not Applicable",1,0)</f>
        <v>0</v>
      </c>
    </row>
    <row r="45" spans="1:32" ht="22.2" thickTop="1" thickBot="1">
      <c r="A45" s="45"/>
      <c r="B45" s="31" t="s">
        <v>79</v>
      </c>
      <c r="C45" s="51"/>
      <c r="D45" s="33"/>
      <c r="E45" s="33"/>
      <c r="F45" s="18"/>
      <c r="G45" s="18"/>
      <c r="AA45">
        <f t="shared" si="12"/>
        <v>0</v>
      </c>
      <c r="AB45">
        <f t="shared" si="13"/>
        <v>0</v>
      </c>
      <c r="AC45">
        <f t="shared" si="14"/>
        <v>0</v>
      </c>
      <c r="AD45">
        <f t="shared" si="15"/>
        <v>0</v>
      </c>
    </row>
    <row r="46" spans="1:32" ht="22.2" thickTop="1" thickBot="1">
      <c r="A46" s="45"/>
      <c r="B46" s="31" t="s">
        <v>80</v>
      </c>
      <c r="C46" s="51"/>
      <c r="D46" s="33"/>
      <c r="E46" s="33"/>
      <c r="F46" s="18"/>
      <c r="G46" s="18"/>
      <c r="AA46">
        <f t="shared" si="12"/>
        <v>0</v>
      </c>
      <c r="AB46">
        <f t="shared" si="13"/>
        <v>0</v>
      </c>
      <c r="AC46">
        <f t="shared" si="14"/>
        <v>0</v>
      </c>
      <c r="AD46">
        <f t="shared" si="15"/>
        <v>0</v>
      </c>
    </row>
    <row r="47" spans="1:32" ht="22.2" thickTop="1" thickBot="1">
      <c r="A47" s="45"/>
      <c r="B47" s="31" t="s">
        <v>81</v>
      </c>
      <c r="C47" s="51"/>
      <c r="D47" s="33"/>
      <c r="E47" s="33"/>
      <c r="F47" s="18"/>
      <c r="G47" s="18"/>
      <c r="AA47">
        <f t="shared" si="12"/>
        <v>0</v>
      </c>
      <c r="AB47">
        <f t="shared" si="13"/>
        <v>0</v>
      </c>
      <c r="AC47">
        <f t="shared" si="14"/>
        <v>0</v>
      </c>
      <c r="AD47">
        <f t="shared" si="15"/>
        <v>0</v>
      </c>
    </row>
    <row r="48" spans="1:32" ht="55.2" thickTop="1" thickBot="1">
      <c r="A48" s="53" t="s">
        <v>82</v>
      </c>
      <c r="B48" s="31" t="s">
        <v>83</v>
      </c>
      <c r="C48" s="51"/>
      <c r="D48" s="33"/>
      <c r="E48" s="33"/>
      <c r="F48" s="18"/>
      <c r="G48" s="18"/>
      <c r="AA48">
        <f t="shared" si="12"/>
        <v>0</v>
      </c>
      <c r="AB48">
        <f t="shared" si="13"/>
        <v>0</v>
      </c>
      <c r="AC48">
        <f t="shared" si="14"/>
        <v>0</v>
      </c>
      <c r="AD48">
        <f t="shared" si="15"/>
        <v>0</v>
      </c>
    </row>
    <row r="49" spans="1:32" ht="37.200000000000003" thickTop="1" thickBot="1">
      <c r="A49" s="53" t="s">
        <v>84</v>
      </c>
      <c r="B49" s="31" t="s">
        <v>85</v>
      </c>
      <c r="C49" s="51"/>
      <c r="D49" s="33"/>
      <c r="E49" s="33"/>
      <c r="F49" s="18"/>
      <c r="G49" s="18"/>
      <c r="AA49">
        <f t="shared" si="12"/>
        <v>0</v>
      </c>
      <c r="AB49">
        <f t="shared" si="13"/>
        <v>0</v>
      </c>
      <c r="AC49">
        <f t="shared" si="14"/>
        <v>0</v>
      </c>
      <c r="AD49">
        <f t="shared" si="15"/>
        <v>0</v>
      </c>
    </row>
    <row r="50" spans="1:32" ht="37.200000000000003" thickTop="1" thickBot="1">
      <c r="A50" s="53" t="s">
        <v>86</v>
      </c>
      <c r="B50" s="31" t="s">
        <v>87</v>
      </c>
      <c r="C50" s="51"/>
      <c r="D50" s="33"/>
      <c r="E50" s="33"/>
      <c r="F50" s="18"/>
      <c r="G50" s="18"/>
      <c r="AA50">
        <f t="shared" si="12"/>
        <v>0</v>
      </c>
      <c r="AB50">
        <f t="shared" si="13"/>
        <v>0</v>
      </c>
      <c r="AC50">
        <f t="shared" si="14"/>
        <v>0</v>
      </c>
      <c r="AD50">
        <f t="shared" si="15"/>
        <v>0</v>
      </c>
    </row>
    <row r="51" spans="1:32" ht="73.2" thickTop="1" thickBot="1">
      <c r="A51" s="53" t="s">
        <v>88</v>
      </c>
      <c r="B51" s="31" t="s">
        <v>89</v>
      </c>
      <c r="C51" s="51"/>
      <c r="D51" s="33"/>
      <c r="E51" s="33"/>
      <c r="F51" s="18"/>
      <c r="G51" s="18"/>
      <c r="AA51">
        <f t="shared" si="12"/>
        <v>0</v>
      </c>
      <c r="AB51">
        <f t="shared" si="13"/>
        <v>0</v>
      </c>
      <c r="AC51">
        <f t="shared" si="14"/>
        <v>0</v>
      </c>
      <c r="AD51">
        <f t="shared" si="15"/>
        <v>0</v>
      </c>
    </row>
    <row r="52" spans="1:32" ht="22.2" thickTop="1" thickBot="1">
      <c r="A52" s="45" t="s">
        <v>90</v>
      </c>
      <c r="B52" s="46" t="s">
        <v>91</v>
      </c>
      <c r="C52" s="47"/>
      <c r="D52" s="48"/>
      <c r="E52" s="49"/>
      <c r="F52" s="18"/>
      <c r="G52" s="18"/>
    </row>
    <row r="53" spans="1:32" ht="22.2" thickTop="1" thickBot="1">
      <c r="A53" s="45"/>
      <c r="B53" s="60" t="s">
        <v>92</v>
      </c>
      <c r="C53" s="51"/>
      <c r="D53" s="33"/>
      <c r="E53" s="33"/>
      <c r="F53" s="18"/>
      <c r="G53" s="18"/>
      <c r="AA53">
        <f t="shared" ref="AA53:AA60" si="16">IF(C53="Met",1,0)</f>
        <v>0</v>
      </c>
      <c r="AB53">
        <f t="shared" ref="AB53:AB60" si="17">IF(C53="Partially Met",1,0)</f>
        <v>0</v>
      </c>
      <c r="AC53">
        <f t="shared" ref="AC53:AC60" si="18">IF(C53="UnMet",1,0)</f>
        <v>0</v>
      </c>
      <c r="AD53">
        <f t="shared" ref="AD53:AD60" si="19">IF(C53="Not Applicable",1,0)</f>
        <v>0</v>
      </c>
    </row>
    <row r="54" spans="1:32" ht="22.2" thickTop="1" thickBot="1">
      <c r="A54" s="45"/>
      <c r="B54" s="60" t="s">
        <v>93</v>
      </c>
      <c r="C54" s="51"/>
      <c r="D54" s="33"/>
      <c r="E54" s="33"/>
      <c r="F54" s="18"/>
      <c r="G54" s="18"/>
      <c r="AA54">
        <f t="shared" si="16"/>
        <v>0</v>
      </c>
      <c r="AB54">
        <f t="shared" si="17"/>
        <v>0</v>
      </c>
      <c r="AC54">
        <f t="shared" si="18"/>
        <v>0</v>
      </c>
      <c r="AD54">
        <f t="shared" si="19"/>
        <v>0</v>
      </c>
    </row>
    <row r="55" spans="1:32" ht="22.2" thickTop="1" thickBot="1">
      <c r="A55" s="45"/>
      <c r="B55" s="60" t="s">
        <v>94</v>
      </c>
      <c r="C55" s="51"/>
      <c r="D55" s="33"/>
      <c r="E55" s="33"/>
      <c r="F55" s="18"/>
      <c r="G55" s="18"/>
      <c r="AA55">
        <f t="shared" si="16"/>
        <v>0</v>
      </c>
      <c r="AB55">
        <f t="shared" si="17"/>
        <v>0</v>
      </c>
      <c r="AC55">
        <f t="shared" si="18"/>
        <v>0</v>
      </c>
      <c r="AD55">
        <f t="shared" si="19"/>
        <v>0</v>
      </c>
    </row>
    <row r="56" spans="1:32" ht="22.2" thickTop="1" thickBot="1">
      <c r="A56" s="45"/>
      <c r="B56" s="60" t="s">
        <v>95</v>
      </c>
      <c r="C56" s="51"/>
      <c r="D56" s="33"/>
      <c r="E56" s="33"/>
      <c r="F56" s="18"/>
      <c r="G56" s="18"/>
      <c r="AA56">
        <f t="shared" si="16"/>
        <v>0</v>
      </c>
      <c r="AB56">
        <f t="shared" si="17"/>
        <v>0</v>
      </c>
      <c r="AC56">
        <f t="shared" si="18"/>
        <v>0</v>
      </c>
      <c r="AD56">
        <f t="shared" si="19"/>
        <v>0</v>
      </c>
    </row>
    <row r="57" spans="1:32" ht="22.2" thickTop="1" thickBot="1">
      <c r="A57" s="45"/>
      <c r="B57" s="60" t="s">
        <v>96</v>
      </c>
      <c r="C57" s="51"/>
      <c r="D57" s="33"/>
      <c r="E57" s="33"/>
      <c r="F57" s="18"/>
      <c r="G57" s="18"/>
      <c r="AA57">
        <f t="shared" si="16"/>
        <v>0</v>
      </c>
      <c r="AB57">
        <f t="shared" si="17"/>
        <v>0</v>
      </c>
      <c r="AC57">
        <f t="shared" si="18"/>
        <v>0</v>
      </c>
      <c r="AD57">
        <f t="shared" si="19"/>
        <v>0</v>
      </c>
    </row>
    <row r="58" spans="1:32" ht="47.25" customHeight="1" thickTop="1" thickBot="1">
      <c r="A58" s="53" t="s">
        <v>97</v>
      </c>
      <c r="B58" s="61" t="s">
        <v>98</v>
      </c>
      <c r="C58" s="51"/>
      <c r="D58" s="33"/>
      <c r="E58" s="33"/>
      <c r="F58" s="18"/>
      <c r="G58" s="18"/>
      <c r="AA58">
        <f t="shared" si="16"/>
        <v>0</v>
      </c>
      <c r="AB58">
        <f t="shared" si="17"/>
        <v>0</v>
      </c>
      <c r="AC58">
        <f t="shared" si="18"/>
        <v>0</v>
      </c>
      <c r="AD58">
        <f t="shared" si="19"/>
        <v>0</v>
      </c>
    </row>
    <row r="59" spans="1:32" ht="22.2" thickTop="1" thickBot="1">
      <c r="A59" s="53" t="s">
        <v>99</v>
      </c>
      <c r="B59" s="31" t="s">
        <v>100</v>
      </c>
      <c r="C59" s="51"/>
      <c r="D59" s="33"/>
      <c r="E59" s="33"/>
      <c r="F59" s="18"/>
      <c r="G59" s="18"/>
      <c r="AA59">
        <f t="shared" si="16"/>
        <v>0</v>
      </c>
      <c r="AB59">
        <f t="shared" si="17"/>
        <v>0</v>
      </c>
      <c r="AC59">
        <f t="shared" si="18"/>
        <v>0</v>
      </c>
      <c r="AD59">
        <f t="shared" si="19"/>
        <v>0</v>
      </c>
    </row>
    <row r="60" spans="1:32" ht="37.200000000000003" thickTop="1" thickBot="1">
      <c r="A60" s="53" t="s">
        <v>101</v>
      </c>
      <c r="B60" s="31" t="s">
        <v>102</v>
      </c>
      <c r="C60" s="51"/>
      <c r="D60" s="33"/>
      <c r="E60" s="33"/>
      <c r="F60" s="18"/>
      <c r="G60" s="18"/>
      <c r="AA60">
        <f t="shared" si="16"/>
        <v>0</v>
      </c>
      <c r="AB60">
        <f t="shared" si="17"/>
        <v>0</v>
      </c>
      <c r="AC60">
        <f t="shared" si="18"/>
        <v>0</v>
      </c>
      <c r="AD60">
        <f t="shared" si="19"/>
        <v>0</v>
      </c>
    </row>
    <row r="61" spans="1:32" ht="90.75" customHeight="1" thickTop="1" thickBot="1">
      <c r="A61" s="43" t="s">
        <v>103</v>
      </c>
      <c r="B61" s="55" t="s">
        <v>104</v>
      </c>
      <c r="C61" s="56" t="s">
        <v>105</v>
      </c>
      <c r="D61" s="57"/>
      <c r="E61" s="58" t="str">
        <f>"Quotation: "&amp;ROUND((AE61/AF61)*100,2)&amp;"%"</f>
        <v>Quotation: 0%</v>
      </c>
      <c r="F61" s="59"/>
      <c r="G61" s="18"/>
      <c r="H61" s="19"/>
      <c r="AE61">
        <f>SUM(AA62:AA65)+SUM(AB62:AB65)*0.5</f>
        <v>0</v>
      </c>
      <c r="AF61">
        <f>COUNT(AA62:AA65)-SUM(AD62:AD65)</f>
        <v>4</v>
      </c>
    </row>
    <row r="62" spans="1:32" ht="37.200000000000003" thickTop="1" thickBot="1">
      <c r="A62" s="53" t="s">
        <v>106</v>
      </c>
      <c r="B62" s="62" t="s">
        <v>107</v>
      </c>
      <c r="C62" s="51"/>
      <c r="D62" s="33"/>
      <c r="E62" s="33"/>
      <c r="F62" s="18"/>
      <c r="G62" s="18"/>
      <c r="AA62">
        <f>IF(C62="Met",1,0)</f>
        <v>0</v>
      </c>
      <c r="AB62">
        <f>IF(C62="Partially Met",1,0)</f>
        <v>0</v>
      </c>
      <c r="AC62">
        <f>IF(C62="UnMet",1,0)</f>
        <v>0</v>
      </c>
      <c r="AD62">
        <f>IF(C62="Not Applicable",1,0)</f>
        <v>0</v>
      </c>
    </row>
    <row r="63" spans="1:32" ht="51.75" customHeight="1" thickTop="1" thickBot="1">
      <c r="A63" s="53" t="s">
        <v>108</v>
      </c>
      <c r="B63" s="62" t="s">
        <v>109</v>
      </c>
      <c r="C63" s="51"/>
      <c r="D63" s="33"/>
      <c r="E63" s="33"/>
      <c r="F63" s="18"/>
      <c r="G63" s="18"/>
      <c r="AA63">
        <f>IF(C63="Met",1,0)</f>
        <v>0</v>
      </c>
      <c r="AB63">
        <f>IF(C63="Partially Met",1,0)</f>
        <v>0</v>
      </c>
      <c r="AC63">
        <f>IF(C63="UnMet",1,0)</f>
        <v>0</v>
      </c>
      <c r="AD63">
        <f>IF(C63="Not Applicable",1,0)</f>
        <v>0</v>
      </c>
    </row>
    <row r="64" spans="1:32" ht="35.25" customHeight="1" thickTop="1" thickBot="1">
      <c r="A64" s="53" t="s">
        <v>110</v>
      </c>
      <c r="B64" s="62" t="s">
        <v>111</v>
      </c>
      <c r="C64" s="51"/>
      <c r="D64" s="33"/>
      <c r="E64" s="33"/>
      <c r="F64" s="18"/>
      <c r="G64" s="18"/>
      <c r="AA64">
        <f>IF(C64="Met",1,0)</f>
        <v>0</v>
      </c>
      <c r="AB64">
        <f>IF(C64="Partially Met",1,0)</f>
        <v>0</v>
      </c>
      <c r="AC64">
        <f>IF(C64="UnMet",1,0)</f>
        <v>0</v>
      </c>
      <c r="AD64">
        <f>IF(C64="Not Applicable",1,0)</f>
        <v>0</v>
      </c>
    </row>
    <row r="65" spans="1:32" ht="37.200000000000003" thickTop="1" thickBot="1">
      <c r="A65" s="53" t="s">
        <v>112</v>
      </c>
      <c r="B65" s="62" t="s">
        <v>113</v>
      </c>
      <c r="C65" s="51"/>
      <c r="D65" s="33"/>
      <c r="E65" s="33"/>
      <c r="F65" s="18"/>
      <c r="G65" s="18"/>
      <c r="AA65">
        <f>IF(C65="Met",1,0)</f>
        <v>0</v>
      </c>
      <c r="AB65">
        <f>IF(C65="Partially Met",1,0)</f>
        <v>0</v>
      </c>
      <c r="AC65">
        <f>IF(C65="UnMet",1,0)</f>
        <v>0</v>
      </c>
      <c r="AD65">
        <f>IF(C65="Not Applicable",1,0)</f>
        <v>0</v>
      </c>
    </row>
    <row r="66" spans="1:32" ht="83.25" customHeight="1" thickTop="1" thickBot="1">
      <c r="A66" s="43" t="s">
        <v>114</v>
      </c>
      <c r="B66" s="63" t="s">
        <v>115</v>
      </c>
      <c r="C66" s="56" t="s">
        <v>116</v>
      </c>
      <c r="D66" s="57"/>
      <c r="E66" s="58" t="str">
        <f>"Quotation: "&amp;ROUND((AE66/AF66)*100,2)&amp;"%"</f>
        <v>Quotation: 0%</v>
      </c>
      <c r="F66" s="59"/>
      <c r="G66" s="18"/>
      <c r="H66" s="19"/>
      <c r="AE66">
        <f>SUM(AA67:AA75)+SUM(AB67:AB75)*0.5</f>
        <v>0</v>
      </c>
      <c r="AF66">
        <f>COUNT(AA67:AA75)-SUM(AD67:AD75)</f>
        <v>8</v>
      </c>
    </row>
    <row r="67" spans="1:32" ht="37.200000000000003" thickTop="1" thickBot="1">
      <c r="A67" s="64" t="s">
        <v>117</v>
      </c>
      <c r="B67" s="65" t="s">
        <v>118</v>
      </c>
      <c r="C67" s="47"/>
      <c r="D67" s="48"/>
      <c r="E67" s="49"/>
      <c r="F67" s="18"/>
      <c r="G67" s="18"/>
    </row>
    <row r="68" spans="1:32" ht="22.2" thickTop="1" thickBot="1">
      <c r="A68" s="66"/>
      <c r="B68" s="62" t="s">
        <v>119</v>
      </c>
      <c r="C68" s="51"/>
      <c r="D68" s="33"/>
      <c r="E68" s="33"/>
      <c r="F68" s="18"/>
      <c r="G68" s="18"/>
      <c r="AA68">
        <f t="shared" ref="AA68:AA75" si="20">IF(C68="Met",1,0)</f>
        <v>0</v>
      </c>
      <c r="AB68">
        <f t="shared" ref="AB68:AB75" si="21">IF(C68="Partially Met",1,0)</f>
        <v>0</v>
      </c>
      <c r="AC68">
        <f t="shared" ref="AC68:AC75" si="22">IF(C68="UnMet",1,0)</f>
        <v>0</v>
      </c>
      <c r="AD68">
        <f t="shared" ref="AD68:AD75" si="23">IF(C68="Not Applicable",1,0)</f>
        <v>0</v>
      </c>
    </row>
    <row r="69" spans="1:32" ht="22.2" thickTop="1" thickBot="1">
      <c r="A69" s="66"/>
      <c r="B69" s="62" t="s">
        <v>120</v>
      </c>
      <c r="C69" s="51"/>
      <c r="D69" s="33"/>
      <c r="E69" s="33"/>
      <c r="F69" s="18"/>
      <c r="G69" s="18"/>
      <c r="AA69">
        <f t="shared" si="20"/>
        <v>0</v>
      </c>
      <c r="AB69">
        <f t="shared" si="21"/>
        <v>0</v>
      </c>
      <c r="AC69">
        <f t="shared" si="22"/>
        <v>0</v>
      </c>
      <c r="AD69">
        <f t="shared" si="23"/>
        <v>0</v>
      </c>
    </row>
    <row r="70" spans="1:32" ht="22.2" thickTop="1" thickBot="1">
      <c r="A70" s="66"/>
      <c r="B70" s="62" t="s">
        <v>121</v>
      </c>
      <c r="C70" s="51"/>
      <c r="D70" s="33"/>
      <c r="E70" s="33"/>
      <c r="F70" s="18"/>
      <c r="G70" s="18"/>
      <c r="AA70">
        <f t="shared" si="20"/>
        <v>0</v>
      </c>
      <c r="AB70">
        <f t="shared" si="21"/>
        <v>0</v>
      </c>
      <c r="AC70">
        <f t="shared" si="22"/>
        <v>0</v>
      </c>
      <c r="AD70">
        <f t="shared" si="23"/>
        <v>0</v>
      </c>
    </row>
    <row r="71" spans="1:32" ht="22.2" thickTop="1" thickBot="1">
      <c r="A71" s="66"/>
      <c r="B71" s="62" t="s">
        <v>122</v>
      </c>
      <c r="C71" s="51"/>
      <c r="D71" s="33"/>
      <c r="E71" s="33"/>
      <c r="F71" s="18"/>
      <c r="G71" s="18"/>
      <c r="AA71">
        <f t="shared" si="20"/>
        <v>0</v>
      </c>
      <c r="AB71">
        <f t="shared" si="21"/>
        <v>0</v>
      </c>
      <c r="AC71">
        <f t="shared" si="22"/>
        <v>0</v>
      </c>
      <c r="AD71">
        <f t="shared" si="23"/>
        <v>0</v>
      </c>
    </row>
    <row r="72" spans="1:32" ht="22.2" thickTop="1" thickBot="1">
      <c r="A72" s="67"/>
      <c r="B72" s="62" t="s">
        <v>123</v>
      </c>
      <c r="C72" s="51"/>
      <c r="D72" s="33"/>
      <c r="E72" s="33"/>
      <c r="F72" s="18"/>
      <c r="G72" s="18"/>
      <c r="AA72">
        <f t="shared" si="20"/>
        <v>0</v>
      </c>
      <c r="AB72">
        <f t="shared" si="21"/>
        <v>0</v>
      </c>
      <c r="AC72">
        <f t="shared" si="22"/>
        <v>0</v>
      </c>
      <c r="AD72">
        <f t="shared" si="23"/>
        <v>0</v>
      </c>
    </row>
    <row r="73" spans="1:32" ht="37.200000000000003" thickTop="1" thickBot="1">
      <c r="A73" s="53" t="s">
        <v>124</v>
      </c>
      <c r="B73" s="62" t="s">
        <v>125</v>
      </c>
      <c r="C73" s="51"/>
      <c r="D73" s="33"/>
      <c r="E73" s="33"/>
      <c r="F73" s="18"/>
      <c r="G73" s="18"/>
      <c r="AA73">
        <f t="shared" si="20"/>
        <v>0</v>
      </c>
      <c r="AB73">
        <f t="shared" si="21"/>
        <v>0</v>
      </c>
      <c r="AC73">
        <f t="shared" si="22"/>
        <v>0</v>
      </c>
      <c r="AD73">
        <f t="shared" si="23"/>
        <v>0</v>
      </c>
    </row>
    <row r="74" spans="1:32" ht="22.2" thickTop="1" thickBot="1">
      <c r="A74" s="53" t="s">
        <v>126</v>
      </c>
      <c r="B74" s="62" t="s">
        <v>127</v>
      </c>
      <c r="C74" s="51"/>
      <c r="D74" s="33"/>
      <c r="E74" s="33"/>
      <c r="F74" s="18"/>
      <c r="G74" s="18"/>
      <c r="AA74">
        <f t="shared" si="20"/>
        <v>0</v>
      </c>
      <c r="AB74">
        <f t="shared" si="21"/>
        <v>0</v>
      </c>
      <c r="AC74">
        <f t="shared" si="22"/>
        <v>0</v>
      </c>
      <c r="AD74">
        <f t="shared" si="23"/>
        <v>0</v>
      </c>
    </row>
    <row r="75" spans="1:32" ht="37.200000000000003" thickTop="1" thickBot="1">
      <c r="A75" s="53" t="s">
        <v>128</v>
      </c>
      <c r="B75" s="62" t="s">
        <v>129</v>
      </c>
      <c r="C75" s="51"/>
      <c r="D75" s="33"/>
      <c r="E75" s="33"/>
      <c r="F75" s="18"/>
      <c r="G75" s="18"/>
      <c r="AA75">
        <f t="shared" si="20"/>
        <v>0</v>
      </c>
      <c r="AB75">
        <f t="shared" si="21"/>
        <v>0</v>
      </c>
      <c r="AC75">
        <f t="shared" si="22"/>
        <v>0</v>
      </c>
      <c r="AD75">
        <f t="shared" si="23"/>
        <v>0</v>
      </c>
    </row>
    <row r="76" spans="1:32" ht="71.25" customHeight="1" thickTop="1" thickBot="1">
      <c r="A76" s="43" t="s">
        <v>130</v>
      </c>
      <c r="B76" s="68" t="s">
        <v>131</v>
      </c>
      <c r="C76" s="56" t="s">
        <v>132</v>
      </c>
      <c r="D76" s="57"/>
      <c r="E76" s="58" t="str">
        <f>"Quotation: "&amp;ROUND((AE76/AF76)*100,2)&amp;"%"</f>
        <v>Quotation: 0%</v>
      </c>
      <c r="F76" s="59"/>
      <c r="G76" s="18"/>
      <c r="H76" s="19"/>
      <c r="AE76">
        <f>SUM(AA77:AA92)+SUM(AB77:AB92)*0.5</f>
        <v>0</v>
      </c>
      <c r="AF76">
        <f>COUNT(AA77:AA92)-SUM(AD77:AD92)</f>
        <v>15</v>
      </c>
    </row>
    <row r="77" spans="1:32" ht="73.2" thickTop="1" thickBot="1">
      <c r="A77" s="53" t="s">
        <v>133</v>
      </c>
      <c r="B77" s="69" t="s">
        <v>134</v>
      </c>
      <c r="C77" s="51"/>
      <c r="D77" s="33"/>
      <c r="E77" s="33"/>
      <c r="F77" s="18"/>
      <c r="G77" s="18"/>
      <c r="AA77">
        <f>IF(C77="Met",1,0)</f>
        <v>0</v>
      </c>
      <c r="AB77">
        <f>IF(C77="Partially Met",1,0)</f>
        <v>0</v>
      </c>
      <c r="AC77">
        <f>IF(C77="UnMet",1,0)</f>
        <v>0</v>
      </c>
      <c r="AD77">
        <f>IF(C77="Not Applicable",1,0)</f>
        <v>0</v>
      </c>
    </row>
    <row r="78" spans="1:32" ht="37.200000000000003" thickTop="1" thickBot="1">
      <c r="A78" s="45" t="s">
        <v>135</v>
      </c>
      <c r="B78" s="70" t="s">
        <v>136</v>
      </c>
      <c r="C78" s="47"/>
      <c r="D78" s="48"/>
      <c r="E78" s="49"/>
      <c r="F78" s="18"/>
      <c r="G78" s="18"/>
    </row>
    <row r="79" spans="1:32" ht="22.2" thickTop="1" thickBot="1">
      <c r="A79" s="45"/>
      <c r="B79" s="71" t="s">
        <v>137</v>
      </c>
      <c r="C79" s="51"/>
      <c r="D79" s="33"/>
      <c r="E79" s="33"/>
      <c r="F79" s="18"/>
      <c r="G79" s="18"/>
      <c r="AA79">
        <f t="shared" ref="AA79:AA92" si="24">IF(C79="Met",1,0)</f>
        <v>0</v>
      </c>
      <c r="AB79">
        <f t="shared" ref="AB79:AB92" si="25">IF(C79="Partially Met",1,0)</f>
        <v>0</v>
      </c>
      <c r="AC79">
        <f t="shared" ref="AC79:AC92" si="26">IF(C79="UnMet",1,0)</f>
        <v>0</v>
      </c>
      <c r="AD79">
        <f t="shared" ref="AD79:AD92" si="27">IF(C79="Not Applicable",1,0)</f>
        <v>0</v>
      </c>
    </row>
    <row r="80" spans="1:32" ht="22.2" thickTop="1" thickBot="1">
      <c r="A80" s="45"/>
      <c r="B80" s="71" t="s">
        <v>138</v>
      </c>
      <c r="C80" s="51"/>
      <c r="D80" s="33"/>
      <c r="E80" s="33"/>
      <c r="F80" s="18"/>
      <c r="G80" s="18"/>
      <c r="AA80">
        <f t="shared" si="24"/>
        <v>0</v>
      </c>
      <c r="AB80">
        <f t="shared" si="25"/>
        <v>0</v>
      </c>
      <c r="AC80">
        <f t="shared" si="26"/>
        <v>0</v>
      </c>
      <c r="AD80">
        <f t="shared" si="27"/>
        <v>0</v>
      </c>
    </row>
    <row r="81" spans="1:32" ht="22.2" thickTop="1" thickBot="1">
      <c r="A81" s="45"/>
      <c r="B81" s="71" t="s">
        <v>139</v>
      </c>
      <c r="C81" s="51"/>
      <c r="D81" s="33"/>
      <c r="E81" s="33"/>
      <c r="F81" s="18"/>
      <c r="G81" s="18"/>
      <c r="AA81">
        <f t="shared" si="24"/>
        <v>0</v>
      </c>
      <c r="AB81">
        <f t="shared" si="25"/>
        <v>0</v>
      </c>
      <c r="AC81">
        <f t="shared" si="26"/>
        <v>0</v>
      </c>
      <c r="AD81">
        <f t="shared" si="27"/>
        <v>0</v>
      </c>
    </row>
    <row r="82" spans="1:32" ht="22.2" thickTop="1" thickBot="1">
      <c r="A82" s="45"/>
      <c r="B82" s="71" t="s">
        <v>140</v>
      </c>
      <c r="C82" s="51"/>
      <c r="D82" s="33"/>
      <c r="E82" s="33"/>
      <c r="F82" s="18"/>
      <c r="G82" s="18"/>
      <c r="AA82">
        <f t="shared" si="24"/>
        <v>0</v>
      </c>
      <c r="AB82">
        <f t="shared" si="25"/>
        <v>0</v>
      </c>
      <c r="AC82">
        <f t="shared" si="26"/>
        <v>0</v>
      </c>
      <c r="AD82">
        <f t="shared" si="27"/>
        <v>0</v>
      </c>
    </row>
    <row r="83" spans="1:32" ht="22.2" thickTop="1" thickBot="1">
      <c r="A83" s="45"/>
      <c r="B83" s="71" t="s">
        <v>141</v>
      </c>
      <c r="C83" s="51"/>
      <c r="D83" s="33"/>
      <c r="E83" s="33"/>
      <c r="F83" s="18"/>
      <c r="G83" s="18"/>
      <c r="AA83">
        <f t="shared" si="24"/>
        <v>0</v>
      </c>
      <c r="AB83">
        <f t="shared" si="25"/>
        <v>0</v>
      </c>
      <c r="AC83">
        <f t="shared" si="26"/>
        <v>0</v>
      </c>
      <c r="AD83">
        <f t="shared" si="27"/>
        <v>0</v>
      </c>
    </row>
    <row r="84" spans="1:32" ht="22.2" thickTop="1" thickBot="1">
      <c r="A84" s="45"/>
      <c r="B84" s="71" t="s">
        <v>142</v>
      </c>
      <c r="C84" s="51"/>
      <c r="D84" s="33"/>
      <c r="E84" s="33"/>
      <c r="F84" s="18"/>
      <c r="G84" s="18"/>
      <c r="AA84">
        <f t="shared" si="24"/>
        <v>0</v>
      </c>
      <c r="AB84">
        <f t="shared" si="25"/>
        <v>0</v>
      </c>
      <c r="AC84">
        <f t="shared" si="26"/>
        <v>0</v>
      </c>
      <c r="AD84">
        <f t="shared" si="27"/>
        <v>0</v>
      </c>
    </row>
    <row r="85" spans="1:32" ht="22.2" thickTop="1" thickBot="1">
      <c r="A85" s="45"/>
      <c r="B85" s="71" t="s">
        <v>143</v>
      </c>
      <c r="C85" s="51"/>
      <c r="D85" s="33"/>
      <c r="E85" s="33"/>
      <c r="F85" s="18"/>
      <c r="G85" s="18"/>
      <c r="AA85">
        <f t="shared" si="24"/>
        <v>0</v>
      </c>
      <c r="AB85">
        <f t="shared" si="25"/>
        <v>0</v>
      </c>
      <c r="AC85">
        <f t="shared" si="26"/>
        <v>0</v>
      </c>
      <c r="AD85">
        <f t="shared" si="27"/>
        <v>0</v>
      </c>
    </row>
    <row r="86" spans="1:32" ht="22.2" thickTop="1" thickBot="1">
      <c r="A86" s="45"/>
      <c r="B86" s="71" t="s">
        <v>144</v>
      </c>
      <c r="C86" s="51"/>
      <c r="D86" s="33"/>
      <c r="E86" s="33"/>
      <c r="F86" s="18"/>
      <c r="G86" s="18"/>
      <c r="AA86">
        <f t="shared" si="24"/>
        <v>0</v>
      </c>
      <c r="AB86">
        <f t="shared" si="25"/>
        <v>0</v>
      </c>
      <c r="AC86">
        <f t="shared" si="26"/>
        <v>0</v>
      </c>
      <c r="AD86">
        <f t="shared" si="27"/>
        <v>0</v>
      </c>
    </row>
    <row r="87" spans="1:32" ht="22.2" thickTop="1" thickBot="1">
      <c r="A87" s="45"/>
      <c r="B87" s="71" t="s">
        <v>145</v>
      </c>
      <c r="C87" s="51"/>
      <c r="D87" s="33"/>
      <c r="E87" s="33"/>
      <c r="F87" s="18"/>
      <c r="G87" s="18"/>
      <c r="AA87">
        <f t="shared" si="24"/>
        <v>0</v>
      </c>
      <c r="AB87">
        <f t="shared" si="25"/>
        <v>0</v>
      </c>
      <c r="AC87">
        <f t="shared" si="26"/>
        <v>0</v>
      </c>
      <c r="AD87">
        <f t="shared" si="27"/>
        <v>0</v>
      </c>
    </row>
    <row r="88" spans="1:32" ht="37.200000000000003" thickTop="1" thickBot="1">
      <c r="A88" s="53" t="s">
        <v>146</v>
      </c>
      <c r="B88" s="61" t="s">
        <v>147</v>
      </c>
      <c r="C88" s="51"/>
      <c r="D88" s="33"/>
      <c r="E88" s="33"/>
      <c r="F88" s="18"/>
      <c r="G88" s="18"/>
      <c r="AA88">
        <f t="shared" si="24"/>
        <v>0</v>
      </c>
      <c r="AB88">
        <f t="shared" si="25"/>
        <v>0</v>
      </c>
      <c r="AC88">
        <f t="shared" si="26"/>
        <v>0</v>
      </c>
      <c r="AD88">
        <f t="shared" si="27"/>
        <v>0</v>
      </c>
    </row>
    <row r="89" spans="1:32" ht="22.2" thickTop="1" thickBot="1">
      <c r="A89" s="53" t="s">
        <v>148</v>
      </c>
      <c r="B89" s="61" t="s">
        <v>149</v>
      </c>
      <c r="C89" s="51"/>
      <c r="D89" s="33"/>
      <c r="E89" s="33"/>
      <c r="F89" s="18"/>
      <c r="G89" s="18"/>
      <c r="AA89">
        <f t="shared" si="24"/>
        <v>0</v>
      </c>
      <c r="AB89">
        <f t="shared" si="25"/>
        <v>0</v>
      </c>
      <c r="AC89">
        <f t="shared" si="26"/>
        <v>0</v>
      </c>
      <c r="AD89">
        <f t="shared" si="27"/>
        <v>0</v>
      </c>
    </row>
    <row r="90" spans="1:32" ht="37.200000000000003" thickTop="1" thickBot="1">
      <c r="A90" s="53" t="s">
        <v>150</v>
      </c>
      <c r="B90" s="61" t="s">
        <v>151</v>
      </c>
      <c r="C90" s="51"/>
      <c r="D90" s="33"/>
      <c r="E90" s="33"/>
      <c r="F90" s="18"/>
      <c r="G90" s="18"/>
      <c r="AA90">
        <f t="shared" si="24"/>
        <v>0</v>
      </c>
      <c r="AB90">
        <f t="shared" si="25"/>
        <v>0</v>
      </c>
      <c r="AC90">
        <f t="shared" si="26"/>
        <v>0</v>
      </c>
      <c r="AD90">
        <f t="shared" si="27"/>
        <v>0</v>
      </c>
    </row>
    <row r="91" spans="1:32" ht="55.2" thickTop="1" thickBot="1">
      <c r="A91" s="53" t="s">
        <v>152</v>
      </c>
      <c r="B91" s="61" t="s">
        <v>153</v>
      </c>
      <c r="C91" s="51"/>
      <c r="D91" s="33"/>
      <c r="E91" s="33"/>
      <c r="F91" s="18"/>
      <c r="G91" s="18"/>
      <c r="AA91">
        <f t="shared" si="24"/>
        <v>0</v>
      </c>
      <c r="AB91">
        <f t="shared" si="25"/>
        <v>0</v>
      </c>
      <c r="AC91">
        <f t="shared" si="26"/>
        <v>0</v>
      </c>
      <c r="AD91">
        <f t="shared" si="27"/>
        <v>0</v>
      </c>
    </row>
    <row r="92" spans="1:32" ht="22.2" thickTop="1" thickBot="1">
      <c r="A92" s="53" t="s">
        <v>154</v>
      </c>
      <c r="B92" s="61" t="s">
        <v>155</v>
      </c>
      <c r="C92" s="51"/>
      <c r="D92" s="33"/>
      <c r="E92" s="33"/>
      <c r="F92" s="18"/>
      <c r="G92" s="18"/>
      <c r="AA92">
        <f t="shared" si="24"/>
        <v>0</v>
      </c>
      <c r="AB92">
        <f t="shared" si="25"/>
        <v>0</v>
      </c>
      <c r="AC92">
        <f t="shared" si="26"/>
        <v>0</v>
      </c>
      <c r="AD92">
        <f t="shared" si="27"/>
        <v>0</v>
      </c>
    </row>
    <row r="93" spans="1:32" ht="76.5" customHeight="1" thickTop="1" thickBot="1">
      <c r="A93" s="43" t="s">
        <v>156</v>
      </c>
      <c r="B93" s="63" t="s">
        <v>157</v>
      </c>
      <c r="C93" s="56" t="s">
        <v>158</v>
      </c>
      <c r="D93" s="57"/>
      <c r="E93" s="58" t="str">
        <f>"Quotation: "&amp;ROUND((AE93/AF93)*100,2)&amp;"%"</f>
        <v>Quotation: 0%</v>
      </c>
      <c r="F93" s="59"/>
      <c r="G93" s="18"/>
      <c r="H93" s="19"/>
      <c r="AE93">
        <f>SUM(AA94:AA100)+SUM(AB94:AB100)*0.5</f>
        <v>0</v>
      </c>
      <c r="AF93">
        <f>COUNT(AA94:AA100)-SUM(AD94:AD100)</f>
        <v>7</v>
      </c>
    </row>
    <row r="94" spans="1:32" ht="37.200000000000003" thickTop="1" thickBot="1">
      <c r="A94" s="72" t="s">
        <v>159</v>
      </c>
      <c r="B94" s="61" t="s">
        <v>160</v>
      </c>
      <c r="C94" s="51"/>
      <c r="D94" s="33"/>
      <c r="E94" s="33"/>
      <c r="F94" s="18"/>
      <c r="G94" s="18"/>
      <c r="AA94">
        <f t="shared" ref="AA94:AA100" si="28">IF(C94="Met",1,0)</f>
        <v>0</v>
      </c>
      <c r="AB94">
        <f t="shared" ref="AB94:AB100" si="29">IF(C94="Partially Met",1,0)</f>
        <v>0</v>
      </c>
      <c r="AC94">
        <f t="shared" ref="AC94:AC100" si="30">IF(C94="UnMet",1,0)</f>
        <v>0</v>
      </c>
      <c r="AD94">
        <f t="shared" ref="AD94:AD100" si="31">IF(C94="Not Applicable",1,0)</f>
        <v>0</v>
      </c>
    </row>
    <row r="95" spans="1:32" ht="22.2" thickTop="1" thickBot="1">
      <c r="A95" s="72" t="s">
        <v>161</v>
      </c>
      <c r="B95" s="61" t="s">
        <v>162</v>
      </c>
      <c r="C95" s="51"/>
      <c r="D95" s="33"/>
      <c r="E95" s="33"/>
      <c r="F95" s="18"/>
      <c r="G95" s="18"/>
      <c r="AA95">
        <f t="shared" si="28"/>
        <v>0</v>
      </c>
      <c r="AB95">
        <f t="shared" si="29"/>
        <v>0</v>
      </c>
      <c r="AC95">
        <f t="shared" si="30"/>
        <v>0</v>
      </c>
      <c r="AD95">
        <f t="shared" si="31"/>
        <v>0</v>
      </c>
    </row>
    <row r="96" spans="1:32" ht="37.200000000000003" thickTop="1" thickBot="1">
      <c r="A96" s="72" t="s">
        <v>163</v>
      </c>
      <c r="B96" s="61" t="s">
        <v>164</v>
      </c>
      <c r="C96" s="51"/>
      <c r="D96" s="33"/>
      <c r="E96" s="33"/>
      <c r="F96" s="18"/>
      <c r="G96" s="18"/>
      <c r="AA96">
        <f t="shared" si="28"/>
        <v>0</v>
      </c>
      <c r="AB96">
        <f t="shared" si="29"/>
        <v>0</v>
      </c>
      <c r="AC96">
        <f t="shared" si="30"/>
        <v>0</v>
      </c>
      <c r="AD96">
        <f t="shared" si="31"/>
        <v>0</v>
      </c>
    </row>
    <row r="97" spans="1:32" ht="37.200000000000003" thickTop="1" thickBot="1">
      <c r="A97" s="72" t="s">
        <v>165</v>
      </c>
      <c r="B97" s="61" t="s">
        <v>166</v>
      </c>
      <c r="C97" s="51"/>
      <c r="D97" s="33"/>
      <c r="E97" s="33"/>
      <c r="F97" s="18"/>
      <c r="G97" s="18"/>
      <c r="AA97">
        <f t="shared" si="28"/>
        <v>0</v>
      </c>
      <c r="AB97">
        <f t="shared" si="29"/>
        <v>0</v>
      </c>
      <c r="AC97">
        <f t="shared" si="30"/>
        <v>0</v>
      </c>
      <c r="AD97">
        <f t="shared" si="31"/>
        <v>0</v>
      </c>
    </row>
    <row r="98" spans="1:32" ht="22.2" thickTop="1" thickBot="1">
      <c r="A98" s="72" t="s">
        <v>167</v>
      </c>
      <c r="B98" s="61" t="s">
        <v>168</v>
      </c>
      <c r="C98" s="51"/>
      <c r="D98" s="33"/>
      <c r="E98" s="33"/>
      <c r="F98" s="18"/>
      <c r="G98" s="18"/>
      <c r="AA98">
        <f t="shared" si="28"/>
        <v>0</v>
      </c>
      <c r="AB98">
        <f t="shared" si="29"/>
        <v>0</v>
      </c>
      <c r="AC98">
        <f t="shared" si="30"/>
        <v>0</v>
      </c>
      <c r="AD98">
        <f t="shared" si="31"/>
        <v>0</v>
      </c>
    </row>
    <row r="99" spans="1:32" ht="37.200000000000003" thickTop="1" thickBot="1">
      <c r="A99" s="72" t="s">
        <v>169</v>
      </c>
      <c r="B99" s="61" t="s">
        <v>170</v>
      </c>
      <c r="C99" s="51"/>
      <c r="D99" s="33"/>
      <c r="E99" s="33"/>
      <c r="F99" s="18"/>
      <c r="G99" s="18"/>
      <c r="AA99">
        <f t="shared" si="28"/>
        <v>0</v>
      </c>
      <c r="AB99">
        <f t="shared" si="29"/>
        <v>0</v>
      </c>
      <c r="AC99">
        <f t="shared" si="30"/>
        <v>0</v>
      </c>
      <c r="AD99">
        <f t="shared" si="31"/>
        <v>0</v>
      </c>
    </row>
    <row r="100" spans="1:32" ht="37.200000000000003" thickTop="1" thickBot="1">
      <c r="A100" s="72" t="s">
        <v>171</v>
      </c>
      <c r="B100" s="61" t="s">
        <v>172</v>
      </c>
      <c r="C100" s="51"/>
      <c r="D100" s="33"/>
      <c r="E100" s="33"/>
      <c r="F100" s="18"/>
      <c r="G100" s="18"/>
      <c r="AA100">
        <f t="shared" si="28"/>
        <v>0</v>
      </c>
      <c r="AB100">
        <f t="shared" si="29"/>
        <v>0</v>
      </c>
      <c r="AC100">
        <f t="shared" si="30"/>
        <v>0</v>
      </c>
      <c r="AD100">
        <f t="shared" si="31"/>
        <v>0</v>
      </c>
    </row>
    <row r="101" spans="1:32" ht="84.75" customHeight="1" thickTop="1" thickBot="1">
      <c r="A101" s="43" t="s">
        <v>173</v>
      </c>
      <c r="B101" s="73" t="s">
        <v>174</v>
      </c>
      <c r="C101" s="56" t="s">
        <v>116</v>
      </c>
      <c r="D101" s="57"/>
      <c r="E101" s="58" t="str">
        <f>"Quotation: "&amp;ROUND((AE101/AF101)*100,2)&amp;"%"</f>
        <v>Quotation: 0%</v>
      </c>
      <c r="F101" s="59"/>
      <c r="G101" s="18"/>
      <c r="H101" s="19"/>
      <c r="AE101">
        <f>SUM(AA102:AA110)+SUM(AB102:AB110)*0.5</f>
        <v>0</v>
      </c>
      <c r="AF101">
        <f>COUNT(AA102:AA110)-SUM(AD102:AD110)</f>
        <v>8</v>
      </c>
    </row>
    <row r="102" spans="1:32" ht="37.200000000000003" thickTop="1" thickBot="1">
      <c r="A102" s="45" t="s">
        <v>175</v>
      </c>
      <c r="B102" s="46" t="s">
        <v>176</v>
      </c>
      <c r="C102" s="47"/>
      <c r="D102" s="48"/>
      <c r="E102" s="49"/>
      <c r="F102" s="18"/>
      <c r="G102" s="18"/>
    </row>
    <row r="103" spans="1:32" ht="22.2" thickTop="1" thickBot="1">
      <c r="A103" s="45"/>
      <c r="B103" s="50" t="s">
        <v>177</v>
      </c>
      <c r="C103" s="51"/>
      <c r="D103" s="33"/>
      <c r="E103" s="33"/>
      <c r="F103" s="18"/>
      <c r="G103" s="18"/>
      <c r="AA103">
        <f t="shared" ref="AA103:AA110" si="32">IF(C103="Met",1,0)</f>
        <v>0</v>
      </c>
      <c r="AB103">
        <f t="shared" ref="AB103:AB110" si="33">IF(C103="Partially Met",1,0)</f>
        <v>0</v>
      </c>
      <c r="AC103">
        <f t="shared" ref="AC103:AC110" si="34">IF(C103="UnMet",1,0)</f>
        <v>0</v>
      </c>
      <c r="AD103">
        <f t="shared" ref="AD103:AD110" si="35">IF(C103="Not Applicable",1,0)</f>
        <v>0</v>
      </c>
    </row>
    <row r="104" spans="1:32" ht="22.2" thickTop="1" thickBot="1">
      <c r="A104" s="45"/>
      <c r="B104" s="50" t="s">
        <v>178</v>
      </c>
      <c r="C104" s="51"/>
      <c r="D104" s="33"/>
      <c r="E104" s="33"/>
      <c r="F104" s="18"/>
      <c r="G104" s="18"/>
      <c r="AA104">
        <f t="shared" si="32"/>
        <v>0</v>
      </c>
      <c r="AB104">
        <f t="shared" si="33"/>
        <v>0</v>
      </c>
      <c r="AC104">
        <f t="shared" si="34"/>
        <v>0</v>
      </c>
      <c r="AD104">
        <f t="shared" si="35"/>
        <v>0</v>
      </c>
    </row>
    <row r="105" spans="1:32" ht="22.2" thickTop="1" thickBot="1">
      <c r="A105" s="45"/>
      <c r="B105" s="50" t="s">
        <v>179</v>
      </c>
      <c r="C105" s="51"/>
      <c r="D105" s="33"/>
      <c r="E105" s="33"/>
      <c r="F105" s="18"/>
      <c r="G105" s="18"/>
      <c r="AA105">
        <f t="shared" si="32"/>
        <v>0</v>
      </c>
      <c r="AB105">
        <f t="shared" si="33"/>
        <v>0</v>
      </c>
      <c r="AC105">
        <f t="shared" si="34"/>
        <v>0</v>
      </c>
      <c r="AD105">
        <f t="shared" si="35"/>
        <v>0</v>
      </c>
    </row>
    <row r="106" spans="1:32" ht="22.2" thickTop="1" thickBot="1">
      <c r="A106" s="45"/>
      <c r="B106" s="50" t="s">
        <v>180</v>
      </c>
      <c r="C106" s="51"/>
      <c r="D106" s="33"/>
      <c r="E106" s="33"/>
      <c r="F106" s="18"/>
      <c r="G106" s="18"/>
      <c r="AA106">
        <f t="shared" si="32"/>
        <v>0</v>
      </c>
      <c r="AB106">
        <f t="shared" si="33"/>
        <v>0</v>
      </c>
      <c r="AC106">
        <f t="shared" si="34"/>
        <v>0</v>
      </c>
      <c r="AD106">
        <f t="shared" si="35"/>
        <v>0</v>
      </c>
    </row>
    <row r="107" spans="1:32" ht="22.2" thickTop="1" thickBot="1">
      <c r="A107" s="53" t="s">
        <v>181</v>
      </c>
      <c r="B107" s="31" t="s">
        <v>182</v>
      </c>
      <c r="C107" s="51"/>
      <c r="D107" s="33"/>
      <c r="E107" s="33"/>
      <c r="F107" s="18"/>
      <c r="G107" s="18"/>
      <c r="AA107">
        <f t="shared" si="32"/>
        <v>0</v>
      </c>
      <c r="AB107">
        <f t="shared" si="33"/>
        <v>0</v>
      </c>
      <c r="AC107">
        <f t="shared" si="34"/>
        <v>0</v>
      </c>
      <c r="AD107">
        <f t="shared" si="35"/>
        <v>0</v>
      </c>
    </row>
    <row r="108" spans="1:32" ht="37.200000000000003" thickTop="1" thickBot="1">
      <c r="A108" s="53" t="s">
        <v>183</v>
      </c>
      <c r="B108" s="31" t="s">
        <v>184</v>
      </c>
      <c r="C108" s="51"/>
      <c r="D108" s="33"/>
      <c r="E108" s="33"/>
      <c r="F108" s="18"/>
      <c r="G108" s="18"/>
      <c r="AA108">
        <f t="shared" si="32"/>
        <v>0</v>
      </c>
      <c r="AB108">
        <f t="shared" si="33"/>
        <v>0</v>
      </c>
      <c r="AC108">
        <f t="shared" si="34"/>
        <v>0</v>
      </c>
      <c r="AD108">
        <f t="shared" si="35"/>
        <v>0</v>
      </c>
    </row>
    <row r="109" spans="1:32" ht="22.2" thickTop="1" thickBot="1">
      <c r="A109" s="53" t="s">
        <v>185</v>
      </c>
      <c r="B109" s="31" t="s">
        <v>186</v>
      </c>
      <c r="C109" s="51"/>
      <c r="D109" s="33"/>
      <c r="E109" s="33"/>
      <c r="F109" s="18"/>
      <c r="G109" s="18"/>
      <c r="AA109">
        <f t="shared" si="32"/>
        <v>0</v>
      </c>
      <c r="AB109">
        <f t="shared" si="33"/>
        <v>0</v>
      </c>
      <c r="AC109">
        <f t="shared" si="34"/>
        <v>0</v>
      </c>
      <c r="AD109">
        <f t="shared" si="35"/>
        <v>0</v>
      </c>
    </row>
    <row r="110" spans="1:32" ht="22.2" thickTop="1" thickBot="1">
      <c r="A110" s="53" t="s">
        <v>187</v>
      </c>
      <c r="B110" s="31" t="s">
        <v>188</v>
      </c>
      <c r="C110" s="51"/>
      <c r="D110" s="33"/>
      <c r="E110" s="33"/>
      <c r="F110" s="18"/>
      <c r="G110" s="18"/>
      <c r="AA110">
        <f t="shared" si="32"/>
        <v>0</v>
      </c>
      <c r="AB110">
        <f t="shared" si="33"/>
        <v>0</v>
      </c>
      <c r="AC110">
        <f t="shared" si="34"/>
        <v>0</v>
      </c>
      <c r="AD110">
        <f t="shared" si="35"/>
        <v>0</v>
      </c>
    </row>
    <row r="111" spans="1:32" ht="81" customHeight="1" thickTop="1" thickBot="1">
      <c r="A111" s="43" t="s">
        <v>189</v>
      </c>
      <c r="B111" s="73" t="s">
        <v>190</v>
      </c>
      <c r="C111" s="56" t="s">
        <v>11</v>
      </c>
      <c r="D111" s="57"/>
      <c r="E111" s="58" t="str">
        <f>"Quotation: "&amp;ROUND((AE111/AF111)*100,2)&amp;"%"</f>
        <v>Quotation: 0%</v>
      </c>
      <c r="F111" s="59"/>
      <c r="G111" s="18"/>
      <c r="H111" s="19"/>
      <c r="AE111">
        <f>SUM(AA112:AA114)+SUM(AB112:AB114)*0.5</f>
        <v>0</v>
      </c>
      <c r="AF111">
        <f>COUNT(AA112:AA114)-SUM(AD112:AD114)</f>
        <v>3</v>
      </c>
    </row>
    <row r="112" spans="1:32" ht="37.200000000000003" thickTop="1" thickBot="1">
      <c r="A112" s="53" t="s">
        <v>191</v>
      </c>
      <c r="B112" s="31" t="s">
        <v>192</v>
      </c>
      <c r="C112" s="51"/>
      <c r="D112" s="33"/>
      <c r="E112" s="33"/>
      <c r="F112" s="18"/>
      <c r="G112" s="18"/>
      <c r="AA112">
        <f>IF(C112="Met",1,0)</f>
        <v>0</v>
      </c>
      <c r="AB112">
        <f>IF(C112="Partially Met",1,0)</f>
        <v>0</v>
      </c>
      <c r="AC112">
        <f>IF(C112="UnMet",1,0)</f>
        <v>0</v>
      </c>
      <c r="AD112">
        <f>IF(C112="Not Applicable",1,0)</f>
        <v>0</v>
      </c>
    </row>
    <row r="113" spans="1:32" ht="55.2" thickTop="1" thickBot="1">
      <c r="A113" s="53" t="s">
        <v>193</v>
      </c>
      <c r="B113" s="31" t="s">
        <v>194</v>
      </c>
      <c r="C113" s="51"/>
      <c r="D113" s="33"/>
      <c r="E113" s="33"/>
      <c r="F113" s="18"/>
      <c r="G113" s="18"/>
      <c r="AA113">
        <f>IF(C113="Met",1,0)</f>
        <v>0</v>
      </c>
      <c r="AB113">
        <f>IF(C113="Partially Met",1,0)</f>
        <v>0</v>
      </c>
      <c r="AC113">
        <f>IF(C113="UnMet",1,0)</f>
        <v>0</v>
      </c>
      <c r="AD113">
        <f>IF(C113="Not Applicable",1,0)</f>
        <v>0</v>
      </c>
    </row>
    <row r="114" spans="1:32" ht="37.200000000000003" thickTop="1" thickBot="1">
      <c r="A114" s="53" t="s">
        <v>195</v>
      </c>
      <c r="B114" s="31" t="s">
        <v>196</v>
      </c>
      <c r="C114" s="51"/>
      <c r="D114" s="33"/>
      <c r="E114" s="33"/>
      <c r="F114" s="18"/>
      <c r="G114" s="18"/>
      <c r="AA114">
        <f>IF(C114="Met",1,0)</f>
        <v>0</v>
      </c>
      <c r="AB114">
        <f>IF(C114="Partially Met",1,0)</f>
        <v>0</v>
      </c>
      <c r="AC114">
        <f>IF(C114="UnMet",1,0)</f>
        <v>0</v>
      </c>
      <c r="AD114">
        <f>IF(C114="Not Applicable",1,0)</f>
        <v>0</v>
      </c>
    </row>
    <row r="115" spans="1:32" ht="55.5" customHeight="1" thickTop="1" thickBot="1">
      <c r="A115" s="43" t="s">
        <v>197</v>
      </c>
      <c r="B115" s="73" t="s">
        <v>198</v>
      </c>
      <c r="C115" s="56" t="s">
        <v>199</v>
      </c>
      <c r="D115" s="57"/>
      <c r="E115" s="58" t="str">
        <f>"Quotation: "&amp;ROUND((AE115/AF115)*100,2)&amp;"%"</f>
        <v>Quotation: 0%</v>
      </c>
      <c r="F115" s="59"/>
      <c r="G115" s="18"/>
      <c r="H115" s="19"/>
      <c r="AE115">
        <f>SUM(AA116:AA125)+SUM(AB116:AB125)*0.5</f>
        <v>0</v>
      </c>
      <c r="AF115">
        <f>COUNT(AA116:AA125)-SUM(AD116:AD125)</f>
        <v>10</v>
      </c>
    </row>
    <row r="116" spans="1:32" ht="55.2" thickTop="1" thickBot="1">
      <c r="A116" s="53" t="s">
        <v>200</v>
      </c>
      <c r="B116" s="31" t="s">
        <v>201</v>
      </c>
      <c r="C116" s="51"/>
      <c r="D116" s="33"/>
      <c r="E116" s="33"/>
      <c r="F116" s="18"/>
      <c r="G116" s="18"/>
      <c r="AA116">
        <f t="shared" ref="AA116:AA125" si="36">IF(C116="Met",1,0)</f>
        <v>0</v>
      </c>
      <c r="AB116">
        <f t="shared" ref="AB116:AB125" si="37">IF(C116="Partially Met",1,0)</f>
        <v>0</v>
      </c>
      <c r="AC116">
        <f t="shared" ref="AC116:AC125" si="38">IF(C116="UnMet",1,0)</f>
        <v>0</v>
      </c>
      <c r="AD116">
        <f t="shared" ref="AD116:AD125" si="39">IF(C116="Not Applicable",1,0)</f>
        <v>0</v>
      </c>
    </row>
    <row r="117" spans="1:32" ht="37.5" customHeight="1" thickTop="1" thickBot="1">
      <c r="A117" s="53" t="s">
        <v>202</v>
      </c>
      <c r="B117" s="31" t="s">
        <v>203</v>
      </c>
      <c r="C117" s="51"/>
      <c r="D117" s="33"/>
      <c r="E117" s="33"/>
      <c r="F117" s="18"/>
      <c r="G117" s="18"/>
      <c r="AA117">
        <f t="shared" si="36"/>
        <v>0</v>
      </c>
      <c r="AB117">
        <f t="shared" si="37"/>
        <v>0</v>
      </c>
      <c r="AC117">
        <f t="shared" si="38"/>
        <v>0</v>
      </c>
      <c r="AD117">
        <f t="shared" si="39"/>
        <v>0</v>
      </c>
    </row>
    <row r="118" spans="1:32" ht="37.200000000000003" thickTop="1" thickBot="1">
      <c r="A118" s="53" t="s">
        <v>204</v>
      </c>
      <c r="B118" s="31" t="s">
        <v>205</v>
      </c>
      <c r="C118" s="51"/>
      <c r="D118" s="33"/>
      <c r="E118" s="33"/>
      <c r="F118" s="18"/>
      <c r="G118" s="18"/>
      <c r="AA118">
        <f t="shared" si="36"/>
        <v>0</v>
      </c>
      <c r="AB118">
        <f t="shared" si="37"/>
        <v>0</v>
      </c>
      <c r="AC118">
        <f t="shared" si="38"/>
        <v>0</v>
      </c>
      <c r="AD118">
        <f t="shared" si="39"/>
        <v>0</v>
      </c>
    </row>
    <row r="119" spans="1:32" ht="37.200000000000003" thickTop="1" thickBot="1">
      <c r="A119" s="53" t="s">
        <v>206</v>
      </c>
      <c r="B119" s="31" t="s">
        <v>207</v>
      </c>
      <c r="C119" s="51"/>
      <c r="D119" s="33"/>
      <c r="E119" s="33"/>
      <c r="F119" s="18"/>
      <c r="G119" s="18"/>
      <c r="AA119">
        <f t="shared" si="36"/>
        <v>0</v>
      </c>
      <c r="AB119">
        <f t="shared" si="37"/>
        <v>0</v>
      </c>
      <c r="AC119">
        <f t="shared" si="38"/>
        <v>0</v>
      </c>
      <c r="AD119">
        <f t="shared" si="39"/>
        <v>0</v>
      </c>
    </row>
    <row r="120" spans="1:32" ht="22.2" thickTop="1" thickBot="1">
      <c r="A120" s="53" t="s">
        <v>208</v>
      </c>
      <c r="B120" s="31" t="s">
        <v>209</v>
      </c>
      <c r="C120" s="51"/>
      <c r="D120" s="33"/>
      <c r="E120" s="33"/>
      <c r="F120" s="18"/>
      <c r="G120" s="18"/>
      <c r="AA120">
        <f t="shared" si="36"/>
        <v>0</v>
      </c>
      <c r="AB120">
        <f t="shared" si="37"/>
        <v>0</v>
      </c>
      <c r="AC120">
        <f t="shared" si="38"/>
        <v>0</v>
      </c>
      <c r="AD120">
        <f t="shared" si="39"/>
        <v>0</v>
      </c>
    </row>
    <row r="121" spans="1:32" ht="37.200000000000003" thickTop="1" thickBot="1">
      <c r="A121" s="53" t="s">
        <v>210</v>
      </c>
      <c r="B121" s="31" t="s">
        <v>211</v>
      </c>
      <c r="C121" s="51"/>
      <c r="D121" s="33"/>
      <c r="E121" s="33"/>
      <c r="F121" s="18"/>
      <c r="G121" s="18"/>
      <c r="AA121">
        <f t="shared" si="36"/>
        <v>0</v>
      </c>
      <c r="AB121">
        <f t="shared" si="37"/>
        <v>0</v>
      </c>
      <c r="AC121">
        <f t="shared" si="38"/>
        <v>0</v>
      </c>
      <c r="AD121">
        <f t="shared" si="39"/>
        <v>0</v>
      </c>
    </row>
    <row r="122" spans="1:32" ht="55.2" thickTop="1" thickBot="1">
      <c r="A122" s="53" t="s">
        <v>212</v>
      </c>
      <c r="B122" s="31" t="s">
        <v>213</v>
      </c>
      <c r="C122" s="51"/>
      <c r="D122" s="33"/>
      <c r="E122" s="33"/>
      <c r="F122" s="18"/>
      <c r="G122" s="18"/>
      <c r="AA122">
        <f t="shared" si="36"/>
        <v>0</v>
      </c>
      <c r="AB122">
        <f t="shared" si="37"/>
        <v>0</v>
      </c>
      <c r="AC122">
        <f t="shared" si="38"/>
        <v>0</v>
      </c>
      <c r="AD122">
        <f t="shared" si="39"/>
        <v>0</v>
      </c>
    </row>
    <row r="123" spans="1:32" ht="37.200000000000003" thickTop="1" thickBot="1">
      <c r="A123" s="53" t="s">
        <v>214</v>
      </c>
      <c r="B123" s="31" t="s">
        <v>215</v>
      </c>
      <c r="C123" s="51"/>
      <c r="D123" s="33"/>
      <c r="E123" s="33"/>
      <c r="F123" s="18"/>
      <c r="G123" s="18"/>
      <c r="AA123">
        <f t="shared" si="36"/>
        <v>0</v>
      </c>
      <c r="AB123">
        <f t="shared" si="37"/>
        <v>0</v>
      </c>
      <c r="AC123">
        <f t="shared" si="38"/>
        <v>0</v>
      </c>
      <c r="AD123">
        <f t="shared" si="39"/>
        <v>0</v>
      </c>
    </row>
    <row r="124" spans="1:32" ht="37.200000000000003" thickTop="1" thickBot="1">
      <c r="A124" s="53" t="s">
        <v>216</v>
      </c>
      <c r="B124" s="31" t="s">
        <v>217</v>
      </c>
      <c r="C124" s="51"/>
      <c r="D124" s="33"/>
      <c r="E124" s="33"/>
      <c r="F124" s="18"/>
      <c r="G124" s="18"/>
      <c r="AA124">
        <f t="shared" si="36"/>
        <v>0</v>
      </c>
      <c r="AB124">
        <f t="shared" si="37"/>
        <v>0</v>
      </c>
      <c r="AC124">
        <f t="shared" si="38"/>
        <v>0</v>
      </c>
      <c r="AD124">
        <f t="shared" si="39"/>
        <v>0</v>
      </c>
    </row>
    <row r="125" spans="1:32" ht="41.25" customHeight="1" thickTop="1" thickBot="1">
      <c r="A125" s="53" t="s">
        <v>218</v>
      </c>
      <c r="B125" s="31" t="s">
        <v>219</v>
      </c>
      <c r="C125" s="51"/>
      <c r="D125" s="33"/>
      <c r="E125" s="33"/>
      <c r="F125" s="18"/>
      <c r="G125" s="18"/>
      <c r="H125" s="19"/>
      <c r="AA125">
        <f t="shared" si="36"/>
        <v>0</v>
      </c>
      <c r="AB125">
        <f t="shared" si="37"/>
        <v>0</v>
      </c>
      <c r="AC125">
        <f t="shared" si="38"/>
        <v>0</v>
      </c>
      <c r="AD125">
        <f t="shared" si="39"/>
        <v>0</v>
      </c>
    </row>
    <row r="126" spans="1:32" ht="65.25" customHeight="1" thickTop="1" thickBot="1">
      <c r="A126" s="43" t="s">
        <v>220</v>
      </c>
      <c r="B126" s="74" t="s">
        <v>221</v>
      </c>
      <c r="C126" s="56" t="s">
        <v>116</v>
      </c>
      <c r="D126" s="57"/>
      <c r="E126" s="58" t="str">
        <f>"Quotation: "&amp;ROUND((AE126/AF126)*100,2)&amp;"%"</f>
        <v>Quotation: 0%</v>
      </c>
      <c r="F126" s="59"/>
      <c r="G126" s="18"/>
      <c r="H126" s="19"/>
      <c r="AE126">
        <f>SUM(AA127:AA134)+SUM(AB127:AB134)*0.5</f>
        <v>0</v>
      </c>
      <c r="AF126">
        <f>COUNT(AA127:AA134)-SUM(AD127:AD134)</f>
        <v>8</v>
      </c>
    </row>
    <row r="127" spans="1:32" ht="35.25" customHeight="1" thickTop="1" thickBot="1">
      <c r="A127" s="53" t="s">
        <v>222</v>
      </c>
      <c r="B127" s="31" t="s">
        <v>223</v>
      </c>
      <c r="C127" s="51"/>
      <c r="D127" s="33"/>
      <c r="E127" s="33"/>
      <c r="F127" s="18"/>
      <c r="G127" s="18"/>
      <c r="AA127">
        <f t="shared" ref="AA127:AA134" si="40">IF(C127="Met",1,0)</f>
        <v>0</v>
      </c>
      <c r="AB127">
        <f t="shared" ref="AB127:AB134" si="41">IF(C127="Partially Met",1,0)</f>
        <v>0</v>
      </c>
      <c r="AC127">
        <f t="shared" ref="AC127:AC134" si="42">IF(C127="UnMet",1,0)</f>
        <v>0</v>
      </c>
      <c r="AD127">
        <f t="shared" ref="AD127:AD134" si="43">IF(C127="Not Applicable",1,0)</f>
        <v>0</v>
      </c>
    </row>
    <row r="128" spans="1:32" ht="33" customHeight="1" thickTop="1" thickBot="1">
      <c r="A128" s="53" t="s">
        <v>224</v>
      </c>
      <c r="B128" s="31" t="s">
        <v>225</v>
      </c>
      <c r="C128" s="51"/>
      <c r="D128" s="33"/>
      <c r="E128" s="33"/>
      <c r="F128" s="18"/>
      <c r="G128" s="18"/>
      <c r="AA128">
        <f t="shared" si="40"/>
        <v>0</v>
      </c>
      <c r="AB128">
        <f t="shared" si="41"/>
        <v>0</v>
      </c>
      <c r="AC128">
        <f t="shared" si="42"/>
        <v>0</v>
      </c>
      <c r="AD128">
        <f t="shared" si="43"/>
        <v>0</v>
      </c>
    </row>
    <row r="129" spans="1:32" ht="30" customHeight="1" thickTop="1" thickBot="1">
      <c r="A129" s="53" t="s">
        <v>226</v>
      </c>
      <c r="B129" s="31" t="s">
        <v>227</v>
      </c>
      <c r="C129" s="51"/>
      <c r="D129" s="33"/>
      <c r="E129" s="33"/>
      <c r="F129" s="18"/>
      <c r="G129" s="18"/>
      <c r="AA129">
        <f t="shared" si="40"/>
        <v>0</v>
      </c>
      <c r="AB129">
        <f t="shared" si="41"/>
        <v>0</v>
      </c>
      <c r="AC129">
        <f t="shared" si="42"/>
        <v>0</v>
      </c>
      <c r="AD129">
        <f t="shared" si="43"/>
        <v>0</v>
      </c>
    </row>
    <row r="130" spans="1:32" ht="43.5" customHeight="1" thickTop="1" thickBot="1">
      <c r="A130" s="53" t="s">
        <v>228</v>
      </c>
      <c r="B130" s="31" t="s">
        <v>229</v>
      </c>
      <c r="C130" s="51"/>
      <c r="D130" s="33"/>
      <c r="E130" s="33"/>
      <c r="F130" s="18"/>
      <c r="G130" s="18"/>
      <c r="AA130">
        <f t="shared" si="40"/>
        <v>0</v>
      </c>
      <c r="AB130">
        <f t="shared" si="41"/>
        <v>0</v>
      </c>
      <c r="AC130">
        <f t="shared" si="42"/>
        <v>0</v>
      </c>
      <c r="AD130">
        <f t="shared" si="43"/>
        <v>0</v>
      </c>
    </row>
    <row r="131" spans="1:32" ht="55.2" thickTop="1" thickBot="1">
      <c r="A131" s="53" t="s">
        <v>230</v>
      </c>
      <c r="B131" s="31" t="s">
        <v>231</v>
      </c>
      <c r="C131" s="51"/>
      <c r="D131" s="33"/>
      <c r="E131" s="33"/>
      <c r="F131" s="18"/>
      <c r="G131" s="18"/>
      <c r="AA131">
        <f t="shared" si="40"/>
        <v>0</v>
      </c>
      <c r="AB131">
        <f t="shared" si="41"/>
        <v>0</v>
      </c>
      <c r="AC131">
        <f t="shared" si="42"/>
        <v>0</v>
      </c>
      <c r="AD131">
        <f t="shared" si="43"/>
        <v>0</v>
      </c>
    </row>
    <row r="132" spans="1:32" ht="37.200000000000003" thickTop="1" thickBot="1">
      <c r="A132" s="53" t="s">
        <v>232</v>
      </c>
      <c r="B132" s="31" t="s">
        <v>233</v>
      </c>
      <c r="C132" s="51"/>
      <c r="D132" s="33"/>
      <c r="E132" s="33"/>
      <c r="F132" s="18"/>
      <c r="G132" s="18"/>
      <c r="AA132">
        <f t="shared" si="40"/>
        <v>0</v>
      </c>
      <c r="AB132">
        <f t="shared" si="41"/>
        <v>0</v>
      </c>
      <c r="AC132">
        <f t="shared" si="42"/>
        <v>0</v>
      </c>
      <c r="AD132">
        <f t="shared" si="43"/>
        <v>0</v>
      </c>
    </row>
    <row r="133" spans="1:32" ht="37.200000000000003" thickTop="1" thickBot="1">
      <c r="A133" s="53" t="s">
        <v>234</v>
      </c>
      <c r="B133" s="31" t="s">
        <v>235</v>
      </c>
      <c r="C133" s="51"/>
      <c r="D133" s="33"/>
      <c r="E133" s="33"/>
      <c r="F133" s="18"/>
      <c r="G133" s="18"/>
      <c r="AA133">
        <f t="shared" si="40"/>
        <v>0</v>
      </c>
      <c r="AB133">
        <f t="shared" si="41"/>
        <v>0</v>
      </c>
      <c r="AC133">
        <f t="shared" si="42"/>
        <v>0</v>
      </c>
      <c r="AD133">
        <f t="shared" si="43"/>
        <v>0</v>
      </c>
    </row>
    <row r="134" spans="1:32" ht="34.5" customHeight="1" thickTop="1" thickBot="1">
      <c r="A134" s="53" t="s">
        <v>236</v>
      </c>
      <c r="B134" s="31" t="s">
        <v>237</v>
      </c>
      <c r="C134" s="51"/>
      <c r="D134" s="33"/>
      <c r="E134" s="33"/>
      <c r="F134" s="18"/>
      <c r="G134" s="18"/>
      <c r="AA134">
        <f t="shared" si="40"/>
        <v>0</v>
      </c>
      <c r="AB134">
        <f t="shared" si="41"/>
        <v>0</v>
      </c>
      <c r="AC134">
        <f t="shared" si="42"/>
        <v>0</v>
      </c>
      <c r="AD134">
        <f t="shared" si="43"/>
        <v>0</v>
      </c>
    </row>
    <row r="135" spans="1:32" ht="38.1" customHeight="1" thickTop="1" thickBot="1">
      <c r="A135" s="75" t="s">
        <v>238</v>
      </c>
      <c r="B135" s="76" t="s">
        <v>239</v>
      </c>
      <c r="C135" s="77" t="s">
        <v>158</v>
      </c>
      <c r="D135" s="78"/>
      <c r="E135" s="79" t="str">
        <f>"Quotation: "&amp;ROUND((AE135/AF135)*100,2)&amp;"%"</f>
        <v>Quotation: 0%</v>
      </c>
      <c r="F135" s="80"/>
      <c r="G135" s="18"/>
      <c r="H135" s="19"/>
      <c r="AE135">
        <f>SUM(AA136:AA142)+SUM(AB136:AB142)*0.5</f>
        <v>0</v>
      </c>
      <c r="AF135">
        <f>COUNT(AA136:AA142)-SUM(AD136:AD142)</f>
        <v>7</v>
      </c>
    </row>
    <row r="136" spans="1:32" ht="57" customHeight="1" thickTop="1" thickBot="1">
      <c r="A136" s="81" t="s">
        <v>240</v>
      </c>
      <c r="B136" s="61" t="s">
        <v>241</v>
      </c>
      <c r="C136" s="51"/>
      <c r="D136" s="33"/>
      <c r="E136" s="33"/>
      <c r="F136" s="18"/>
      <c r="G136" s="18"/>
      <c r="AA136">
        <f t="shared" ref="AA136:AA142" si="44">IF(C136="Met",1,0)</f>
        <v>0</v>
      </c>
      <c r="AB136">
        <f t="shared" ref="AB136:AB142" si="45">IF(C136="Partially Met",1,0)</f>
        <v>0</v>
      </c>
      <c r="AC136">
        <f t="shared" ref="AC136:AC142" si="46">IF(C136="UnMet",1,0)</f>
        <v>0</v>
      </c>
      <c r="AD136">
        <f t="shared" ref="AD136:AD142" si="47">IF(C136="Not Applicable",1,0)</f>
        <v>0</v>
      </c>
    </row>
    <row r="137" spans="1:32" ht="46.5" customHeight="1" thickTop="1" thickBot="1">
      <c r="A137" s="81" t="s">
        <v>242</v>
      </c>
      <c r="B137" s="61" t="s">
        <v>243</v>
      </c>
      <c r="C137" s="51"/>
      <c r="D137" s="33"/>
      <c r="E137" s="33"/>
      <c r="F137" s="18"/>
      <c r="G137" s="18"/>
      <c r="AA137">
        <f t="shared" si="44"/>
        <v>0</v>
      </c>
      <c r="AB137">
        <f t="shared" si="45"/>
        <v>0</v>
      </c>
      <c r="AC137">
        <f t="shared" si="46"/>
        <v>0</v>
      </c>
      <c r="AD137">
        <f t="shared" si="47"/>
        <v>0</v>
      </c>
    </row>
    <row r="138" spans="1:32" ht="37.200000000000003" thickTop="1" thickBot="1">
      <c r="A138" s="81" t="s">
        <v>244</v>
      </c>
      <c r="B138" s="61" t="s">
        <v>245</v>
      </c>
      <c r="C138" s="51"/>
      <c r="D138" s="33"/>
      <c r="E138" s="33"/>
      <c r="F138" s="18"/>
      <c r="G138" s="18"/>
      <c r="AA138">
        <f t="shared" si="44"/>
        <v>0</v>
      </c>
      <c r="AB138">
        <f t="shared" si="45"/>
        <v>0</v>
      </c>
      <c r="AC138">
        <f t="shared" si="46"/>
        <v>0</v>
      </c>
      <c r="AD138">
        <f t="shared" si="47"/>
        <v>0</v>
      </c>
    </row>
    <row r="139" spans="1:32" ht="37.200000000000003" thickTop="1" thickBot="1">
      <c r="A139" s="81" t="s">
        <v>246</v>
      </c>
      <c r="B139" s="61" t="s">
        <v>247</v>
      </c>
      <c r="C139" s="51"/>
      <c r="D139" s="33"/>
      <c r="E139" s="33"/>
      <c r="F139" s="18"/>
      <c r="G139" s="18"/>
      <c r="AA139">
        <f t="shared" si="44"/>
        <v>0</v>
      </c>
      <c r="AB139">
        <f t="shared" si="45"/>
        <v>0</v>
      </c>
      <c r="AC139">
        <f t="shared" si="46"/>
        <v>0</v>
      </c>
      <c r="AD139">
        <f t="shared" si="47"/>
        <v>0</v>
      </c>
    </row>
    <row r="140" spans="1:32" ht="55.2" thickTop="1" thickBot="1">
      <c r="A140" s="81" t="s">
        <v>248</v>
      </c>
      <c r="B140" s="61" t="s">
        <v>249</v>
      </c>
      <c r="C140" s="51"/>
      <c r="D140" s="33"/>
      <c r="E140" s="33"/>
      <c r="F140" s="18"/>
      <c r="G140" s="18"/>
      <c r="AA140">
        <f t="shared" si="44"/>
        <v>0</v>
      </c>
      <c r="AB140">
        <f t="shared" si="45"/>
        <v>0</v>
      </c>
      <c r="AC140">
        <f t="shared" si="46"/>
        <v>0</v>
      </c>
      <c r="AD140">
        <f t="shared" si="47"/>
        <v>0</v>
      </c>
    </row>
    <row r="141" spans="1:32" ht="55.2" thickTop="1" thickBot="1">
      <c r="A141" s="81" t="s">
        <v>250</v>
      </c>
      <c r="B141" s="61" t="s">
        <v>251</v>
      </c>
      <c r="C141" s="51"/>
      <c r="D141" s="33"/>
      <c r="E141" s="33"/>
      <c r="F141" s="18"/>
      <c r="G141" s="18"/>
      <c r="AA141">
        <f t="shared" si="44"/>
        <v>0</v>
      </c>
      <c r="AB141">
        <f t="shared" si="45"/>
        <v>0</v>
      </c>
      <c r="AC141">
        <f t="shared" si="46"/>
        <v>0</v>
      </c>
      <c r="AD141">
        <f t="shared" si="47"/>
        <v>0</v>
      </c>
    </row>
    <row r="142" spans="1:32" ht="37.200000000000003" thickTop="1" thickBot="1">
      <c r="A142" s="81" t="s">
        <v>252</v>
      </c>
      <c r="B142" s="61" t="s">
        <v>253</v>
      </c>
      <c r="C142" s="51"/>
      <c r="D142" s="33"/>
      <c r="E142" s="33"/>
      <c r="F142" s="18"/>
      <c r="G142" s="18"/>
      <c r="AA142">
        <f t="shared" si="44"/>
        <v>0</v>
      </c>
      <c r="AB142">
        <f t="shared" si="45"/>
        <v>0</v>
      </c>
      <c r="AC142">
        <f t="shared" si="46"/>
        <v>0</v>
      </c>
      <c r="AD142">
        <f t="shared" si="47"/>
        <v>0</v>
      </c>
    </row>
    <row r="143" spans="1:32" ht="42" customHeight="1" thickTop="1" thickBot="1">
      <c r="A143" s="75" t="s">
        <v>254</v>
      </c>
      <c r="B143" s="76" t="s">
        <v>255</v>
      </c>
      <c r="C143" s="77" t="s">
        <v>256</v>
      </c>
      <c r="D143" s="78"/>
      <c r="E143" s="79" t="str">
        <f>"Quotation: "&amp;ROUND((AE143/AF143)*100,2)&amp;"%"</f>
        <v>Quotation: 0%</v>
      </c>
      <c r="F143" s="80"/>
      <c r="H143" s="19"/>
      <c r="AE143">
        <f>SUM(AA144:AA148)+SUM(AB144:AB148)*0.5</f>
        <v>0</v>
      </c>
      <c r="AF143">
        <f>COUNT(AA144:AA148)-SUM(AD144:AD148)</f>
        <v>5</v>
      </c>
    </row>
    <row r="144" spans="1:32" ht="55.2" thickTop="1" thickBot="1">
      <c r="A144" s="81" t="s">
        <v>257</v>
      </c>
      <c r="B144" s="31" t="s">
        <v>258</v>
      </c>
      <c r="C144" s="51"/>
      <c r="D144" s="33"/>
      <c r="E144" s="33"/>
      <c r="AA144">
        <f>IF(C144="Met",1,0)</f>
        <v>0</v>
      </c>
      <c r="AB144">
        <f>IF(C144="Partially Met",1,0)</f>
        <v>0</v>
      </c>
      <c r="AC144">
        <f>IF(C144="UnMet",1,0)</f>
        <v>0</v>
      </c>
      <c r="AD144">
        <f>IF(C144="Not Applicable",1,0)</f>
        <v>0</v>
      </c>
    </row>
    <row r="145" spans="1:32" ht="38.25" customHeight="1" thickTop="1" thickBot="1">
      <c r="A145" s="81" t="s">
        <v>259</v>
      </c>
      <c r="B145" s="31" t="s">
        <v>260</v>
      </c>
      <c r="C145" s="51"/>
      <c r="D145" s="33"/>
      <c r="E145" s="33"/>
      <c r="AA145">
        <f>IF(C145="Met",1,0)</f>
        <v>0</v>
      </c>
      <c r="AB145">
        <f>IF(C145="Partially Met",1,0)</f>
        <v>0</v>
      </c>
      <c r="AC145">
        <f>IF(C145="UnMet",1,0)</f>
        <v>0</v>
      </c>
      <c r="AD145">
        <f>IF(C145="Not Applicable",1,0)</f>
        <v>0</v>
      </c>
    </row>
    <row r="146" spans="1:32" ht="34.5" customHeight="1" thickTop="1" thickBot="1">
      <c r="A146" s="81" t="s">
        <v>261</v>
      </c>
      <c r="B146" s="31" t="s">
        <v>262</v>
      </c>
      <c r="C146" s="51"/>
      <c r="D146" s="33"/>
      <c r="E146" s="33"/>
      <c r="AA146">
        <f>IF(C146="Met",1,0)</f>
        <v>0</v>
      </c>
      <c r="AB146">
        <f>IF(C146="Partially Met",1,0)</f>
        <v>0</v>
      </c>
      <c r="AC146">
        <f>IF(C146="UnMet",1,0)</f>
        <v>0</v>
      </c>
      <c r="AD146">
        <f>IF(C146="Not Applicable",1,0)</f>
        <v>0</v>
      </c>
    </row>
    <row r="147" spans="1:32" ht="35.25" customHeight="1" thickTop="1" thickBot="1">
      <c r="A147" s="81" t="s">
        <v>263</v>
      </c>
      <c r="B147" s="31" t="s">
        <v>264</v>
      </c>
      <c r="C147" s="51"/>
      <c r="D147" s="33"/>
      <c r="E147" s="33"/>
      <c r="AA147">
        <f>IF(C147="Met",1,0)</f>
        <v>0</v>
      </c>
      <c r="AB147">
        <f>IF(C147="Partially Met",1,0)</f>
        <v>0</v>
      </c>
      <c r="AC147">
        <f>IF(C147="UnMet",1,0)</f>
        <v>0</v>
      </c>
      <c r="AD147">
        <f>IF(C147="Not Applicable",1,0)</f>
        <v>0</v>
      </c>
    </row>
    <row r="148" spans="1:32" ht="42" customHeight="1" thickTop="1" thickBot="1">
      <c r="A148" s="81" t="s">
        <v>265</v>
      </c>
      <c r="B148" s="31" t="s">
        <v>266</v>
      </c>
      <c r="C148" s="51"/>
      <c r="D148" s="33"/>
      <c r="E148" s="33"/>
      <c r="AA148">
        <f>IF(C148="Met",1,0)</f>
        <v>0</v>
      </c>
      <c r="AB148">
        <f>IF(C148="Partially Met",1,0)</f>
        <v>0</v>
      </c>
      <c r="AC148">
        <f>IF(C148="UnMet",1,0)</f>
        <v>0</v>
      </c>
      <c r="AD148">
        <f>IF(C148="Not Applicable",1,0)</f>
        <v>0</v>
      </c>
    </row>
    <row r="149" spans="1:32" ht="59.25" customHeight="1" thickTop="1" thickBot="1">
      <c r="A149" s="82" t="s">
        <v>267</v>
      </c>
      <c r="B149" s="83" t="s">
        <v>268</v>
      </c>
      <c r="C149" s="77" t="s">
        <v>256</v>
      </c>
      <c r="D149" s="78"/>
      <c r="E149" s="79" t="str">
        <f>"Quotation: "&amp;ROUND((AE149/AF149)*100,2)&amp;"%"</f>
        <v>Quotation: 0%</v>
      </c>
      <c r="F149" s="80"/>
      <c r="H149" s="19"/>
      <c r="AE149">
        <f>SUM(AA150:AA154)+SUM(AB150:AB154)*0.5</f>
        <v>0</v>
      </c>
      <c r="AF149">
        <f>COUNT(AA150:AA154)-SUM(AD150:AD154)</f>
        <v>5</v>
      </c>
    </row>
    <row r="150" spans="1:32" ht="37.200000000000003" thickTop="1" thickBot="1">
      <c r="A150" s="81" t="s">
        <v>269</v>
      </c>
      <c r="B150" s="31" t="s">
        <v>270</v>
      </c>
      <c r="C150" s="51"/>
      <c r="D150" s="33"/>
      <c r="E150" s="33"/>
      <c r="AA150">
        <f>IF(C150="Met",1,0)</f>
        <v>0</v>
      </c>
      <c r="AB150">
        <f>IF(C150="Partially Met",1,0)</f>
        <v>0</v>
      </c>
      <c r="AC150">
        <f>IF(C150="UnMet",1,0)</f>
        <v>0</v>
      </c>
      <c r="AD150">
        <f>IF(C150="Not Applicable",1,0)</f>
        <v>0</v>
      </c>
    </row>
    <row r="151" spans="1:32" ht="40.5" customHeight="1" thickTop="1" thickBot="1">
      <c r="A151" s="81" t="s">
        <v>271</v>
      </c>
      <c r="B151" s="31" t="s">
        <v>272</v>
      </c>
      <c r="C151" s="51"/>
      <c r="D151" s="33"/>
      <c r="E151" s="33"/>
      <c r="AA151">
        <f>IF(C151="Met",1,0)</f>
        <v>0</v>
      </c>
      <c r="AB151">
        <f>IF(C151="Partially Met",1,0)</f>
        <v>0</v>
      </c>
      <c r="AC151">
        <f>IF(C151="UnMet",1,0)</f>
        <v>0</v>
      </c>
      <c r="AD151">
        <f>IF(C151="Not Applicable",1,0)</f>
        <v>0</v>
      </c>
    </row>
    <row r="152" spans="1:32" ht="73.2" thickTop="1" thickBot="1">
      <c r="A152" s="81" t="s">
        <v>273</v>
      </c>
      <c r="B152" s="31" t="s">
        <v>274</v>
      </c>
      <c r="C152" s="51"/>
      <c r="D152" s="33"/>
      <c r="E152" s="33"/>
      <c r="AA152">
        <f>IF(C152="Met",1,0)</f>
        <v>0</v>
      </c>
      <c r="AB152">
        <f>IF(C152="Partially Met",1,0)</f>
        <v>0</v>
      </c>
      <c r="AC152">
        <f>IF(C152="UnMet",1,0)</f>
        <v>0</v>
      </c>
      <c r="AD152">
        <f>IF(C152="Not Applicable",1,0)</f>
        <v>0</v>
      </c>
    </row>
    <row r="153" spans="1:32" ht="39" customHeight="1" thickTop="1" thickBot="1">
      <c r="A153" s="81" t="s">
        <v>275</v>
      </c>
      <c r="B153" s="31" t="s">
        <v>276</v>
      </c>
      <c r="C153" s="51"/>
      <c r="D153" s="33"/>
      <c r="E153" s="33"/>
      <c r="AA153">
        <f>IF(C153="Met",1,0)</f>
        <v>0</v>
      </c>
      <c r="AB153">
        <f>IF(C153="Partially Met",1,0)</f>
        <v>0</v>
      </c>
      <c r="AC153">
        <f>IF(C153="UnMet",1,0)</f>
        <v>0</v>
      </c>
      <c r="AD153">
        <f>IF(C153="Not Applicable",1,0)</f>
        <v>0</v>
      </c>
    </row>
    <row r="154" spans="1:32" ht="37.200000000000003" thickTop="1" thickBot="1">
      <c r="A154" s="81" t="s">
        <v>277</v>
      </c>
      <c r="B154" s="31" t="s">
        <v>278</v>
      </c>
      <c r="C154" s="51"/>
      <c r="D154" s="33"/>
      <c r="E154" s="33"/>
      <c r="AA154">
        <f>IF(C154="Met",1,0)</f>
        <v>0</v>
      </c>
      <c r="AB154">
        <f>IF(C154="Partially Met",1,0)</f>
        <v>0</v>
      </c>
      <c r="AC154">
        <f>IF(C154="UnMet",1,0)</f>
        <v>0</v>
      </c>
      <c r="AD154">
        <f>IF(C154="Not Applicable",1,0)</f>
        <v>0</v>
      </c>
    </row>
  </sheetData>
  <sheetProtection algorithmName="SHA-512" hashValue="A4HuPbg3FxPunf+ULE2DgNgrBFWnuRI8DJ1VWUVL9Abr0/TXwFcqlbUeF8kNIdJWpXZYap5PGe5el8G/MiQ+4A==" saltValue="QO6VM+ztOzNCJwPyVwajvQ==" spinCount="100000" sheet="1" objects="1" scenarios="1"/>
  <mergeCells count="51">
    <mergeCell ref="C149:D149"/>
    <mergeCell ref="E149:F149"/>
    <mergeCell ref="C126:D126"/>
    <mergeCell ref="E126:F126"/>
    <mergeCell ref="C135:D135"/>
    <mergeCell ref="E135:F135"/>
    <mergeCell ref="C143:D143"/>
    <mergeCell ref="E143:F143"/>
    <mergeCell ref="A102:A106"/>
    <mergeCell ref="C102:E102"/>
    <mergeCell ref="C111:D111"/>
    <mergeCell ref="E111:F111"/>
    <mergeCell ref="C115:D115"/>
    <mergeCell ref="E115:F115"/>
    <mergeCell ref="A78:A87"/>
    <mergeCell ref="C78:E78"/>
    <mergeCell ref="C93:D93"/>
    <mergeCell ref="E93:F93"/>
    <mergeCell ref="C101:D101"/>
    <mergeCell ref="E101:F101"/>
    <mergeCell ref="C66:D66"/>
    <mergeCell ref="E66:F66"/>
    <mergeCell ref="A67:A72"/>
    <mergeCell ref="C67:E67"/>
    <mergeCell ref="C76:D76"/>
    <mergeCell ref="E76:F76"/>
    <mergeCell ref="A43:A47"/>
    <mergeCell ref="C43:E43"/>
    <mergeCell ref="A52:A57"/>
    <mergeCell ref="C52:E52"/>
    <mergeCell ref="C61:D61"/>
    <mergeCell ref="E61:F61"/>
    <mergeCell ref="A20:A27"/>
    <mergeCell ref="C20:E20"/>
    <mergeCell ref="C35:D35"/>
    <mergeCell ref="E35:F35"/>
    <mergeCell ref="C42:D42"/>
    <mergeCell ref="E42:F42"/>
    <mergeCell ref="A11:A12"/>
    <mergeCell ref="B11:B12"/>
    <mergeCell ref="C11:D11"/>
    <mergeCell ref="E11:F11"/>
    <mergeCell ref="C19:D19"/>
    <mergeCell ref="E19:F19"/>
    <mergeCell ref="A1:E1"/>
    <mergeCell ref="A2:E2"/>
    <mergeCell ref="A3:E3"/>
    <mergeCell ref="C4:E4"/>
    <mergeCell ref="A6:F6"/>
    <mergeCell ref="C7:D7"/>
    <mergeCell ref="E7:F7"/>
  </mergeCells>
  <dataValidations count="2">
    <dataValidation type="list" showInputMessage="1" showErrorMessage="1" sqref="C136:C142 C144:C148 C150:C154">
      <formula1>"Met,UnMet,Not Applicable"</formula1>
    </dataValidation>
    <dataValidation type="list" showInputMessage="1" showErrorMessage="1" sqref="C8:C10 C12:C18 C21:C34 C36:C41 C44:C51 C53:C60 C62:C65 C68:C75 C77 C79:C92 C94:C100 C103:C110 C112:C114 C116:C125 C127:C134">
      <formula1>"Met,Partially Met,UnMet,Not Applicable"</formula1>
    </dataValidation>
  </dataValidations>
  <pageMargins left="0.74803149606299202" right="0.74803149606299202" top="0.98425196850393704" bottom="0.98425196850393704" header="0.511811023622047" footer="0.511811023622047"/>
  <pageSetup scale="43" orientation="landscape"/>
  <rowBreaks count="8" manualBreakCount="8">
    <brk id="18" max="10" man="1"/>
    <brk id="41" max="10" man="1"/>
    <brk id="60" max="10" man="1"/>
    <brk id="75" max="7" man="1"/>
    <brk id="92" max="10" man="1"/>
    <brk id="110" max="7" man="1"/>
    <brk id="125" max="7" man="1"/>
    <brk id="142" max="7"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SMCS.1</vt:lpstr>
      <vt:lpstr>SMCS.1!_Toc87294425</vt:lpstr>
      <vt:lpstr>SMCS.1!_Toc87294427</vt:lpstr>
      <vt:lpstr>SMCS.1!Print_Area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Ashraf Musa</dc:creator>
  <cp:lastModifiedBy>Ashraf Musa</cp:lastModifiedBy>
  <dcterms:created xsi:type="dcterms:W3CDTF">2025-08-22T13:37:49Z</dcterms:created>
  <dcterms:modified xsi:type="dcterms:W3CDTF">2025-08-22T13:37:49Z</dcterms:modified>
</cp:coreProperties>
</file>