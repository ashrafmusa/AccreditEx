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SAMEH\Downloads\"/>
    </mc:Choice>
  </mc:AlternateContent>
  <bookViews>
    <workbookView xWindow="0" yWindow="0" windowWidth="23040" windowHeight="8784"/>
  </bookViews>
  <sheets>
    <sheet name="SMCS7" sheetId="1" r:id="rId1"/>
  </sheets>
  <definedNames>
    <definedName name="_xlnm.Print_Area" localSheetId="0">SMCS7!$A$1:$F$116</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D114" i="1" l="1"/>
  <c r="AC114" i="1"/>
  <c r="AB114" i="1"/>
  <c r="AA114" i="1"/>
  <c r="AD113" i="1"/>
  <c r="AC113" i="1"/>
  <c r="AB113" i="1"/>
  <c r="AA113" i="1"/>
  <c r="AD112" i="1"/>
  <c r="AC112" i="1"/>
  <c r="AB112" i="1"/>
  <c r="AA112" i="1"/>
  <c r="AD111" i="1"/>
  <c r="AC111" i="1"/>
  <c r="AB111" i="1"/>
  <c r="AA111" i="1"/>
  <c r="AD110" i="1"/>
  <c r="AC110" i="1"/>
  <c r="AB110" i="1"/>
  <c r="AA110" i="1"/>
  <c r="AD109" i="1"/>
  <c r="AC109" i="1"/>
  <c r="AB109" i="1"/>
  <c r="AA109" i="1"/>
  <c r="AD108" i="1"/>
  <c r="AC108" i="1"/>
  <c r="AB108" i="1"/>
  <c r="AA108" i="1"/>
  <c r="AD107" i="1"/>
  <c r="AC107" i="1"/>
  <c r="AB107" i="1"/>
  <c r="AA107" i="1"/>
  <c r="AF105" i="1" s="1"/>
  <c r="AD106" i="1"/>
  <c r="AC106" i="1"/>
  <c r="AB106" i="1"/>
  <c r="AA106" i="1"/>
  <c r="AE105" i="1"/>
  <c r="AD104" i="1"/>
  <c r="AC104" i="1"/>
  <c r="AB104" i="1"/>
  <c r="AA104" i="1"/>
  <c r="AD103" i="1"/>
  <c r="AC103" i="1"/>
  <c r="AB103" i="1"/>
  <c r="AA103" i="1"/>
  <c r="AD102" i="1"/>
  <c r="AC102" i="1"/>
  <c r="AB102" i="1"/>
  <c r="AA102" i="1"/>
  <c r="AD101" i="1"/>
  <c r="AC101" i="1"/>
  <c r="AB101" i="1"/>
  <c r="AA101" i="1"/>
  <c r="AD100" i="1"/>
  <c r="AC100" i="1"/>
  <c r="AB100" i="1"/>
  <c r="AA100" i="1"/>
  <c r="AD99" i="1"/>
  <c r="AC99" i="1"/>
  <c r="AB99" i="1"/>
  <c r="AA99" i="1"/>
  <c r="AF97" i="1" s="1"/>
  <c r="AD98" i="1"/>
  <c r="AC98" i="1"/>
  <c r="AB98" i="1"/>
  <c r="AE97" i="1" s="1"/>
  <c r="E97" i="1" s="1"/>
  <c r="AA98" i="1"/>
  <c r="AD96" i="1"/>
  <c r="AC96" i="1"/>
  <c r="AB96" i="1"/>
  <c r="AA96" i="1"/>
  <c r="AD95" i="1"/>
  <c r="AC95" i="1"/>
  <c r="AB95" i="1"/>
  <c r="AA95" i="1"/>
  <c r="AD94" i="1"/>
  <c r="AC94" i="1"/>
  <c r="AB94" i="1"/>
  <c r="AA94" i="1"/>
  <c r="AD93" i="1"/>
  <c r="AC93" i="1"/>
  <c r="AB93" i="1"/>
  <c r="AA93" i="1"/>
  <c r="AD92" i="1"/>
  <c r="AC92" i="1"/>
  <c r="AB92" i="1"/>
  <c r="AA92" i="1"/>
  <c r="AD91" i="1"/>
  <c r="AC91" i="1"/>
  <c r="AB91" i="1"/>
  <c r="AA91" i="1"/>
  <c r="AD90" i="1"/>
  <c r="AC90" i="1"/>
  <c r="AB90" i="1"/>
  <c r="AA90" i="1"/>
  <c r="AD89" i="1"/>
  <c r="AC89" i="1"/>
  <c r="AB89" i="1"/>
  <c r="AA89" i="1"/>
  <c r="AD88" i="1"/>
  <c r="AC88" i="1"/>
  <c r="AB88" i="1"/>
  <c r="AA88" i="1"/>
  <c r="AD87" i="1"/>
  <c r="AC87" i="1"/>
  <c r="AB87" i="1"/>
  <c r="AA87" i="1"/>
  <c r="AD86" i="1"/>
  <c r="AC86" i="1"/>
  <c r="AB86" i="1"/>
  <c r="AA86" i="1"/>
  <c r="AD85" i="1"/>
  <c r="AC85" i="1"/>
  <c r="AB85" i="1"/>
  <c r="AA85" i="1"/>
  <c r="AD83" i="1"/>
  <c r="AC83" i="1"/>
  <c r="AB83" i="1"/>
  <c r="AA83" i="1"/>
  <c r="AD82" i="1"/>
  <c r="AC82" i="1"/>
  <c r="AB82" i="1"/>
  <c r="AA82" i="1"/>
  <c r="AD81" i="1"/>
  <c r="AC81" i="1"/>
  <c r="AB81" i="1"/>
  <c r="AA81" i="1"/>
  <c r="AD80" i="1"/>
  <c r="AC80" i="1"/>
  <c r="AB80" i="1"/>
  <c r="AA80" i="1"/>
  <c r="AF79" i="1" s="1"/>
  <c r="AD78" i="1"/>
  <c r="AC78" i="1"/>
  <c r="AB78" i="1"/>
  <c r="AA78" i="1"/>
  <c r="AD77" i="1"/>
  <c r="AC77" i="1"/>
  <c r="AB77" i="1"/>
  <c r="AA77" i="1"/>
  <c r="AD76" i="1"/>
  <c r="AC76" i="1"/>
  <c r="AB76" i="1"/>
  <c r="AA76" i="1"/>
  <c r="AD75" i="1"/>
  <c r="AC75" i="1"/>
  <c r="AB75" i="1"/>
  <c r="AA75" i="1"/>
  <c r="AD74" i="1"/>
  <c r="AC74" i="1"/>
  <c r="AB74" i="1"/>
  <c r="AA74" i="1"/>
  <c r="AD73" i="1"/>
  <c r="AC73" i="1"/>
  <c r="AB73" i="1"/>
  <c r="AA73" i="1"/>
  <c r="AD72" i="1"/>
  <c r="AC72" i="1"/>
  <c r="AB72" i="1"/>
  <c r="AA72" i="1"/>
  <c r="AD71" i="1"/>
  <c r="AC71" i="1"/>
  <c r="AB71" i="1"/>
  <c r="AA71" i="1"/>
  <c r="AD70" i="1"/>
  <c r="AC70" i="1"/>
  <c r="AB70" i="1"/>
  <c r="AA70" i="1"/>
  <c r="AD69" i="1"/>
  <c r="AC69" i="1"/>
  <c r="AB69" i="1"/>
  <c r="AA69" i="1"/>
  <c r="AD68" i="1"/>
  <c r="AC68" i="1"/>
  <c r="AB68" i="1"/>
  <c r="AA68" i="1"/>
  <c r="AD67" i="1"/>
  <c r="AC67" i="1"/>
  <c r="AB67" i="1"/>
  <c r="AA67" i="1"/>
  <c r="AD66" i="1"/>
  <c r="AC66" i="1"/>
  <c r="AB66" i="1"/>
  <c r="AA66" i="1"/>
  <c r="AD65" i="1"/>
  <c r="AC65" i="1"/>
  <c r="AB65" i="1"/>
  <c r="AA65" i="1"/>
  <c r="AD64" i="1"/>
  <c r="AC64" i="1"/>
  <c r="AB64" i="1"/>
  <c r="AA64" i="1"/>
  <c r="AD62" i="1"/>
  <c r="AC62" i="1"/>
  <c r="AB62" i="1"/>
  <c r="AA62" i="1"/>
  <c r="AF60" i="1" s="1"/>
  <c r="AD61" i="1"/>
  <c r="AC61" i="1"/>
  <c r="AB61" i="1"/>
  <c r="AA61" i="1"/>
  <c r="AE60" i="1" s="1"/>
  <c r="E60" i="1" s="1"/>
  <c r="AD59" i="1"/>
  <c r="AC59" i="1"/>
  <c r="AB59" i="1"/>
  <c r="AA59" i="1"/>
  <c r="AD58" i="1"/>
  <c r="AC58" i="1"/>
  <c r="AB58" i="1"/>
  <c r="AA58" i="1"/>
  <c r="AD57" i="1"/>
  <c r="AC57" i="1"/>
  <c r="AB57" i="1"/>
  <c r="AA57" i="1"/>
  <c r="AD56" i="1"/>
  <c r="AC56" i="1"/>
  <c r="AB56" i="1"/>
  <c r="AA56" i="1"/>
  <c r="AD55" i="1"/>
  <c r="AC55" i="1"/>
  <c r="AB55" i="1"/>
  <c r="AA55" i="1"/>
  <c r="AD54" i="1"/>
  <c r="AC54" i="1"/>
  <c r="AB54" i="1"/>
  <c r="AA54" i="1"/>
  <c r="AD53" i="1"/>
  <c r="AC53" i="1"/>
  <c r="AB53" i="1"/>
  <c r="AA53" i="1"/>
  <c r="AD52" i="1"/>
  <c r="AC52" i="1"/>
  <c r="AB52" i="1"/>
  <c r="AA52" i="1"/>
  <c r="AD51" i="1"/>
  <c r="AC51" i="1"/>
  <c r="AB51" i="1"/>
  <c r="AA51" i="1"/>
  <c r="AD50" i="1"/>
  <c r="AC50" i="1"/>
  <c r="AB50" i="1"/>
  <c r="AA50" i="1"/>
  <c r="AD49" i="1"/>
  <c r="AC49" i="1"/>
  <c r="AB49" i="1"/>
  <c r="AA49" i="1"/>
  <c r="AD48" i="1"/>
  <c r="AC48" i="1"/>
  <c r="AB48" i="1"/>
  <c r="AA48" i="1"/>
  <c r="AD47" i="1"/>
  <c r="AC47" i="1"/>
  <c r="AB47" i="1"/>
  <c r="AA47" i="1"/>
  <c r="AD46" i="1"/>
  <c r="AC46" i="1"/>
  <c r="AB46" i="1"/>
  <c r="AA46" i="1"/>
  <c r="AD45" i="1"/>
  <c r="AC45" i="1"/>
  <c r="AB45" i="1"/>
  <c r="AA45" i="1"/>
  <c r="AD44" i="1"/>
  <c r="AC44" i="1"/>
  <c r="AB44" i="1"/>
  <c r="AA44" i="1"/>
  <c r="AD43" i="1"/>
  <c r="AC43" i="1"/>
  <c r="AB43" i="1"/>
  <c r="AA43" i="1"/>
  <c r="AD42" i="1"/>
  <c r="AC42" i="1"/>
  <c r="AB42" i="1"/>
  <c r="AA42" i="1"/>
  <c r="AD41" i="1"/>
  <c r="AC41" i="1"/>
  <c r="AB41" i="1"/>
  <c r="AA41" i="1"/>
  <c r="AD40" i="1"/>
  <c r="AC40" i="1"/>
  <c r="AB40" i="1"/>
  <c r="AA40" i="1"/>
  <c r="AD39" i="1"/>
  <c r="AC39" i="1"/>
  <c r="AB39" i="1"/>
  <c r="AA39" i="1"/>
  <c r="AD38" i="1"/>
  <c r="AC38" i="1"/>
  <c r="AB38" i="1"/>
  <c r="AA38" i="1"/>
  <c r="AD37" i="1"/>
  <c r="AC37" i="1"/>
  <c r="AB37" i="1"/>
  <c r="AA37" i="1"/>
  <c r="AD36" i="1"/>
  <c r="AC36" i="1"/>
  <c r="AB36" i="1"/>
  <c r="AA36" i="1"/>
  <c r="AD35" i="1"/>
  <c r="AC35" i="1"/>
  <c r="AB35" i="1"/>
  <c r="AA35" i="1"/>
  <c r="AD34" i="1"/>
  <c r="AC34" i="1"/>
  <c r="AB34" i="1"/>
  <c r="AA34" i="1"/>
  <c r="AF32" i="1"/>
  <c r="AE32" i="1"/>
  <c r="E32" i="1" s="1"/>
  <c r="AD31" i="1"/>
  <c r="AC31" i="1"/>
  <c r="AB31" i="1"/>
  <c r="AA31" i="1"/>
  <c r="AD30" i="1"/>
  <c r="AC30" i="1"/>
  <c r="AB30" i="1"/>
  <c r="AA30" i="1"/>
  <c r="AD29" i="1"/>
  <c r="AC29" i="1"/>
  <c r="AB29" i="1"/>
  <c r="AA29" i="1"/>
  <c r="AD28" i="1"/>
  <c r="AC28" i="1"/>
  <c r="AB28" i="1"/>
  <c r="AA28" i="1"/>
  <c r="AD27" i="1"/>
  <c r="AC27" i="1"/>
  <c r="AB27" i="1"/>
  <c r="AA27" i="1"/>
  <c r="AD26" i="1"/>
  <c r="AC26" i="1"/>
  <c r="AB26" i="1"/>
  <c r="AA26" i="1"/>
  <c r="AD25" i="1"/>
  <c r="AC25" i="1"/>
  <c r="AB25" i="1"/>
  <c r="AA25" i="1"/>
  <c r="AD24" i="1"/>
  <c r="AC24" i="1"/>
  <c r="AB24" i="1"/>
  <c r="AA24" i="1"/>
  <c r="AD23" i="1"/>
  <c r="AC23" i="1"/>
  <c r="AB23" i="1"/>
  <c r="AA23" i="1"/>
  <c r="AD22" i="1"/>
  <c r="AC22" i="1"/>
  <c r="AB22" i="1"/>
  <c r="AA22" i="1"/>
  <c r="AD21" i="1"/>
  <c r="AC21" i="1"/>
  <c r="AB21" i="1"/>
  <c r="AA21" i="1"/>
  <c r="AD20" i="1"/>
  <c r="AC20" i="1"/>
  <c r="AB20" i="1"/>
  <c r="AE17" i="1" s="1"/>
  <c r="E17" i="1" s="1"/>
  <c r="AA20" i="1"/>
  <c r="AD19" i="1"/>
  <c r="AC19" i="1"/>
  <c r="AB19" i="1"/>
  <c r="AA19" i="1"/>
  <c r="AF17" i="1"/>
  <c r="AD16" i="1"/>
  <c r="AC16" i="1"/>
  <c r="AB16" i="1"/>
  <c r="AA16" i="1"/>
  <c r="AD15" i="1"/>
  <c r="AC15" i="1"/>
  <c r="AB15" i="1"/>
  <c r="AA15" i="1"/>
  <c r="AD14" i="1"/>
  <c r="AC14" i="1"/>
  <c r="AB14" i="1"/>
  <c r="AA14" i="1"/>
  <c r="AD13" i="1"/>
  <c r="AC13" i="1"/>
  <c r="AB13" i="1"/>
  <c r="AA13" i="1"/>
  <c r="AF12" i="1" s="1"/>
  <c r="AD11" i="1"/>
  <c r="AC11" i="1"/>
  <c r="AB11" i="1"/>
  <c r="AA11" i="1"/>
  <c r="AD10" i="1"/>
  <c r="AC10" i="1"/>
  <c r="AB10" i="1"/>
  <c r="AA10" i="1"/>
  <c r="AD9" i="1"/>
  <c r="AC9" i="1"/>
  <c r="AB9" i="1"/>
  <c r="AA9" i="1"/>
  <c r="AF7" i="1" s="1"/>
  <c r="AD8" i="1"/>
  <c r="AC8" i="1"/>
  <c r="AB8" i="1"/>
  <c r="AA8" i="1"/>
  <c r="AE7" i="1" s="1"/>
  <c r="AA4" i="1"/>
  <c r="E105" i="1" l="1"/>
  <c r="E7" i="1"/>
  <c r="AB4" i="1"/>
  <c r="C4" i="1" s="1"/>
  <c r="AE79" i="1"/>
  <c r="E79" i="1" s="1"/>
  <c r="AE12" i="1"/>
  <c r="E12" i="1" s="1"/>
</calcChain>
</file>

<file path=xl/sharedStrings.xml><?xml version="1.0" encoding="utf-8"?>
<sst xmlns="http://schemas.openxmlformats.org/spreadsheetml/2006/main" count="185" uniqueCount="184">
  <si>
    <t xml:space="preserve"> Quality Assurance Center </t>
  </si>
  <si>
    <t xml:space="preserve">Oman Healthcare Accrediation System </t>
  </si>
  <si>
    <t xml:space="preserve">Self Assessment Tool (SAT) </t>
  </si>
  <si>
    <t>Chapter 4</t>
  </si>
  <si>
    <t>Specialized Medical Care Services (SMCS)</t>
  </si>
  <si>
    <t>Conformity Level</t>
  </si>
  <si>
    <t xml:space="preserve">Evidence </t>
  </si>
  <si>
    <t xml:space="preserve">Comments </t>
  </si>
  <si>
    <t>Anaesthesia Care (AN)</t>
  </si>
  <si>
    <t>SMCS.71</t>
  </si>
  <si>
    <t>The hospital has a qualified anesthesiologists managing anaesthesia and sedation service.</t>
  </si>
  <si>
    <t>Total Measures: 4</t>
  </si>
  <si>
    <t>SMCS.71.a</t>
  </si>
  <si>
    <t>The department is directed by an anesthetist who is qualified by education, training, and experience in the field of anesthesia e.g., pediatric anesthesia, cardiothoracic anesthesia, neuro anesthesia, and transplant anesthesia.</t>
  </si>
  <si>
    <t>SMCS.71.b</t>
  </si>
  <si>
    <t xml:space="preserve">There is clear job description for the head of department with clear responsibilities. </t>
  </si>
  <si>
    <t>SMCS.71.c</t>
  </si>
  <si>
    <t xml:space="preserve">The head of the anaesthesia department supervises the development and implementation of policies and procedures related to sedation and anaesthesia practice throughout the hospital. </t>
  </si>
  <si>
    <t>SMCS.71.d</t>
  </si>
  <si>
    <t>The head of the department enforces continuous quality management and risk management activities, and infection control guidelines</t>
  </si>
  <si>
    <t>SMCS.72</t>
  </si>
  <si>
    <t xml:space="preserve">All anesthesia staff are qualified with appropriate qualification </t>
  </si>
  <si>
    <t>SMCS.72.a</t>
  </si>
  <si>
    <t>All anaesthesia team members providing anesthesia service are certified with appropriate qualifications.</t>
  </si>
  <si>
    <t>SMCS.72.b</t>
  </si>
  <si>
    <t xml:space="preserve">All major surgeries/ procedures such as paediatric surgery, cardiac, transplant, neurosurgery operations are supervised by the anesthesia consultant. </t>
  </si>
  <si>
    <t>SMCS.72.c</t>
  </si>
  <si>
    <t xml:space="preserve">Operation room has anesthetist available throughout the operation. </t>
  </si>
  <si>
    <t>SMCS.72.d</t>
  </si>
  <si>
    <t xml:space="preserve">All Medical and Nursing staff working in the anesthesia unit have essential cardiac life support certificates concerning the age group they serve including basic life support, adult cardiac life support, pediatric cardiac life support (PCLS), and Neonatal resuscitation program for pediatric anesthesia.  </t>
  </si>
  <si>
    <t>SMCS.73</t>
  </si>
  <si>
    <t xml:space="preserve">The anesthesia department has clear policies to guide the provision of anesthesia care. </t>
  </si>
  <si>
    <t>Total Measures: 13</t>
  </si>
  <si>
    <t>SMCS.73.a</t>
  </si>
  <si>
    <t xml:space="preserve">The department has written policies and procedures that are approved by hospital management, covering but is not limited to: </t>
  </si>
  <si>
    <t xml:space="preserve">1.     pre-anesthesia and post anesthesia CARE </t>
  </si>
  <si>
    <t>2.     preoperative, intraoperative and post-operative monitoring of patients undergoing anesthesia</t>
  </si>
  <si>
    <t>3.     handling of aesthesia agents safely</t>
  </si>
  <si>
    <t xml:space="preserve">4.     Handover policy. </t>
  </si>
  <si>
    <t xml:space="preserve">5.     Pre-operative fasting </t>
  </si>
  <si>
    <t>6.     Pre medication</t>
  </si>
  <si>
    <t>7.     Pre-operative anesthesia evaluation</t>
  </si>
  <si>
    <t xml:space="preserve">8.     Day-care anesthesia </t>
  </si>
  <si>
    <t>9.     Intra operative monitoring</t>
  </si>
  <si>
    <t>10.  Post anesthesia care unit</t>
  </si>
  <si>
    <t>11.  Post-operative pain care</t>
  </si>
  <si>
    <t>SMCS.73.b</t>
  </si>
  <si>
    <t xml:space="preserve">The department leader ensures all staff are well trained and oriented on the policies. </t>
  </si>
  <si>
    <t>SMCS.73.c</t>
  </si>
  <si>
    <t>The unit conduct audit and develops an action plan to improve the care depending on information from KPI</t>
  </si>
  <si>
    <t>SMCS.74</t>
  </si>
  <si>
    <t>The department has all required equipment and supplies for the provision of anaesthesia care.</t>
  </si>
  <si>
    <t>Total Measures: 26</t>
  </si>
  <si>
    <t>SMCS.74.a</t>
  </si>
  <si>
    <t>The unit has essential a multifunctional anaesthesia machines and equipment and supplies required for anaesthesia, including</t>
  </si>
  <si>
    <t xml:space="preserve">1.  Anaesthesia workstation </t>
  </si>
  <si>
    <t>2. Hand ventilating assemblies.</t>
  </si>
  <si>
    <t>3. Suction apparatus.</t>
  </si>
  <si>
    <t>4. Airway management kits (including difficult airways equipment).</t>
  </si>
  <si>
    <t>5. Resuscitation Work Station (Crash Trolley).</t>
  </si>
  <si>
    <t>6. Access to bronchoscope</t>
  </si>
  <si>
    <t>7. Video laryngoscope</t>
  </si>
  <si>
    <t>8. Elastic gum bougie</t>
  </si>
  <si>
    <t>9. Ultra Sound (US) machine</t>
  </si>
  <si>
    <t>10. Invasive and non-invasive monitoring equipment (Electro Cardio Graph- ECG, Pulse Oximeter, Endo Tracheal- ET CO2, invasive and non-invasive BP monitoring and Temp).</t>
  </si>
  <si>
    <t>11. Defibrillator and pacing facilities.</t>
  </si>
  <si>
    <t>12. ECG machine</t>
  </si>
  <si>
    <t>13. Patient's Temperature controlling equipment.</t>
  </si>
  <si>
    <t>14. Infusions and specialized pumps.</t>
  </si>
  <si>
    <t>15. Portable Transport equipment (Monitors, Ventilators and Transport Kit)</t>
  </si>
  <si>
    <t>16. Point of care equipment: Random Blood Sugar (RBS) monitoring,</t>
  </si>
  <si>
    <t>17. Arterial Blood Gas (ABG) monitoring and analysis</t>
  </si>
  <si>
    <t>18. Difficult airway kit</t>
  </si>
  <si>
    <t xml:space="preserve">19. Neonatal and paediatric airway equipment  </t>
  </si>
  <si>
    <t>SMCS.74.b</t>
  </si>
  <si>
    <t>The equipment complies with the National Standards.</t>
  </si>
  <si>
    <t>SMCS.74.c</t>
  </si>
  <si>
    <t xml:space="preserve">All anesthesia machine and equipment are checked and undergo preventative maintenance regularly, with evidence of records. </t>
  </si>
  <si>
    <t>SMCS.74.d</t>
  </si>
  <si>
    <t>The unit has an access to maintain, replace and clean the equipment.</t>
  </si>
  <si>
    <t>SMCS.74.e</t>
  </si>
  <si>
    <t>The unit has designated storage area for this equipment.</t>
  </si>
  <si>
    <t>SMCS.74.f</t>
  </si>
  <si>
    <t>The unit has an access to emergency equipment.</t>
  </si>
  <si>
    <t>SMCS.74.g</t>
  </si>
  <si>
    <t>The unit has an access to indent consumables.</t>
  </si>
  <si>
    <t>SMCS.74.h</t>
  </si>
  <si>
    <t xml:space="preserve">All staff are trained on the use of the equipment, with records. </t>
  </si>
  <si>
    <t>SMCS.75</t>
  </si>
  <si>
    <t xml:space="preserve">Patient’s anaesthesia care is planned and documented in the patient’s record </t>
  </si>
  <si>
    <t>Total Measures: 17</t>
  </si>
  <si>
    <t>SMCS.75.a</t>
  </si>
  <si>
    <t>There is clear policy and procedures for the provision of anaesthesia care, covering, monitoring of patients during anaesthesia, post-anaesthesia care in the recovery room.</t>
  </si>
  <si>
    <t>SMCS.75.b</t>
  </si>
  <si>
    <t xml:space="preserve">Assessment is conducted before anaesthesia </t>
  </si>
  <si>
    <t>SMCS.75.c</t>
  </si>
  <si>
    <t xml:space="preserve">The planned anaesthesia care is documented in patient’s anaesthesia record during anaesthesia covering </t>
  </si>
  <si>
    <r>
      <rPr>
        <sz val="14"/>
        <rFont val="Symbol"/>
        <charset val="2"/>
      </rPr>
      <t>·</t>
    </r>
    <r>
      <rPr>
        <sz val="14"/>
        <rFont val="Times New Roman"/>
        <charset val="134"/>
      </rPr>
      <t>      Patients’ name, age height, weight , and vital signs</t>
    </r>
  </si>
  <si>
    <r>
      <rPr>
        <sz val="14"/>
        <rFont val="Symbol"/>
        <charset val="2"/>
      </rPr>
      <t>·</t>
    </r>
    <r>
      <rPr>
        <sz val="14"/>
        <rFont val="Times New Roman"/>
        <charset val="134"/>
      </rPr>
      <t>      Type of anesthesia, dose, time, and route of administration,</t>
    </r>
  </si>
  <si>
    <r>
      <rPr>
        <sz val="14"/>
        <rFont val="Symbol"/>
        <charset val="2"/>
      </rPr>
      <t>·</t>
    </r>
    <r>
      <rPr>
        <sz val="14"/>
        <rFont val="Times New Roman"/>
        <charset val="134"/>
      </rPr>
      <t>      Blood investigation carried out</t>
    </r>
  </si>
  <si>
    <r>
      <rPr>
        <sz val="14"/>
        <rFont val="Symbol"/>
        <charset val="2"/>
      </rPr>
      <t>·</t>
    </r>
    <r>
      <rPr>
        <sz val="14"/>
        <rFont val="Times New Roman"/>
        <charset val="134"/>
      </rPr>
      <t>      Patient blood sugar and blood gas</t>
    </r>
  </si>
  <si>
    <r>
      <rPr>
        <sz val="14"/>
        <rFont val="Symbol"/>
        <charset val="2"/>
      </rPr>
      <t>·</t>
    </r>
    <r>
      <rPr>
        <sz val="14"/>
        <rFont val="Times New Roman"/>
        <charset val="134"/>
      </rPr>
      <t>      Any blood or blood product given, with the reason</t>
    </r>
  </si>
  <si>
    <r>
      <rPr>
        <sz val="14"/>
        <rFont val="Symbol"/>
        <charset val="2"/>
      </rPr>
      <t>·</t>
    </r>
    <r>
      <rPr>
        <sz val="14"/>
        <rFont val="Times New Roman"/>
        <charset val="134"/>
      </rPr>
      <t>      Type of intravenous fluid given</t>
    </r>
  </si>
  <si>
    <r>
      <rPr>
        <sz val="14"/>
        <rFont val="Symbol"/>
        <charset val="2"/>
      </rPr>
      <t>·</t>
    </r>
    <r>
      <rPr>
        <sz val="14"/>
        <rFont val="Times New Roman"/>
        <charset val="134"/>
      </rPr>
      <t xml:space="preserve">      Any complications </t>
    </r>
  </si>
  <si>
    <r>
      <rPr>
        <sz val="14"/>
        <rFont val="Symbol"/>
        <charset val="2"/>
      </rPr>
      <t>·</t>
    </r>
    <r>
      <rPr>
        <sz val="14"/>
        <rFont val="Times New Roman"/>
        <charset val="134"/>
      </rPr>
      <t xml:space="preserve">      Patients’ condition status. </t>
    </r>
  </si>
  <si>
    <t>SMCS.75.d</t>
  </si>
  <si>
    <t xml:space="preserve">Qualified anaesthesiologist evaluates the patients before all electives and emergency procedures under general anaesthesia, regional anaesthesia </t>
  </si>
  <si>
    <t>SMCS.75.e</t>
  </si>
  <si>
    <t>Each patient anaesthesia care is planned and documented in patients’ records.</t>
  </si>
  <si>
    <t>SMCS.75.f</t>
  </si>
  <si>
    <t>Patient’s physical status is continuously monitored and documented during anaesthesia.</t>
  </si>
  <si>
    <t>SMCS.75.g</t>
  </si>
  <si>
    <t xml:space="preserve">Patient assessment and monitoring finding is clearly documented. </t>
  </si>
  <si>
    <t>SMCS.75.h</t>
  </si>
  <si>
    <t>Person who administers and person monitors patients’ condition signature is maintained.</t>
  </si>
  <si>
    <t>SMCS.75.i</t>
  </si>
  <si>
    <t xml:space="preserve">When patient is transferred to recovery room, he is handed over and evaluated, and his condition status and time are documented. </t>
  </si>
  <si>
    <t>SMCS.75.J</t>
  </si>
  <si>
    <t>Post-anaesthesia patients are continuously monitored and managed in the recovery room.</t>
  </si>
  <si>
    <t>SMCS.76</t>
  </si>
  <si>
    <r>
      <rPr>
        <b/>
        <sz val="14"/>
        <color theme="1"/>
        <rFont val="Times New Roman"/>
        <charset val="134"/>
      </rPr>
      <t>There is clear process to guide the care of patient going for moderate and deep sedation/ analgesia</t>
    </r>
    <r>
      <rPr>
        <sz val="14"/>
        <color theme="1"/>
        <rFont val="Times New Roman"/>
        <charset val="134"/>
      </rPr>
      <t xml:space="preserve"> </t>
    </r>
  </si>
  <si>
    <t>Total Measures: 16</t>
  </si>
  <si>
    <t>SMCS.76.a</t>
  </si>
  <si>
    <t xml:space="preserve">The unit has clear written policies and procedures for moderate and deep anaesthesia care. </t>
  </si>
  <si>
    <t>SMCS.76.b</t>
  </si>
  <si>
    <t>All patients are evaluated and monitored before receiving any general anaesthesia, regional anesthesia, and post anaesthesia care.</t>
  </si>
  <si>
    <t>SMCS.76.c</t>
  </si>
  <si>
    <t>The physician obtains informed consent from the patient after a detailed explanation about the benefits and expected risks. Consent is signed by the patient/ or guardian.</t>
  </si>
  <si>
    <t>SMCS.76.d</t>
  </si>
  <si>
    <t>Patients undergoing surgeries/procedures under moderate and deep sedation are prepared properly.</t>
  </si>
  <si>
    <t>SMCS.76.e</t>
  </si>
  <si>
    <t xml:space="preserve">The pre-sedation assessment is done by an anaesthetist covering </t>
  </si>
  <si>
    <r>
      <rPr>
        <sz val="14"/>
        <rFont val="Symbol"/>
        <charset val="2"/>
      </rPr>
      <t>·</t>
    </r>
    <r>
      <rPr>
        <sz val="14"/>
        <rFont val="Times New Roman"/>
        <charset val="134"/>
      </rPr>
      <t xml:space="preserve">      Age, sex </t>
    </r>
  </si>
  <si>
    <r>
      <rPr>
        <sz val="14"/>
        <rFont val="Symbol"/>
        <charset val="2"/>
      </rPr>
      <t>·</t>
    </r>
    <r>
      <rPr>
        <sz val="14"/>
        <rFont val="Times New Roman"/>
        <charset val="134"/>
      </rPr>
      <t>      Medical/surgical history</t>
    </r>
  </si>
  <si>
    <r>
      <rPr>
        <sz val="14"/>
        <rFont val="Symbol"/>
        <charset val="2"/>
      </rPr>
      <t>·</t>
    </r>
    <r>
      <rPr>
        <sz val="14"/>
        <rFont val="Times New Roman"/>
        <charset val="134"/>
      </rPr>
      <t>      Comorbidities</t>
    </r>
  </si>
  <si>
    <r>
      <rPr>
        <sz val="14"/>
        <rFont val="Symbol"/>
        <charset val="2"/>
      </rPr>
      <t>·</t>
    </r>
    <r>
      <rPr>
        <sz val="14"/>
        <rFont val="Times New Roman"/>
        <charset val="134"/>
      </rPr>
      <t xml:space="preserve">      Drug allergy </t>
    </r>
  </si>
  <si>
    <r>
      <rPr>
        <sz val="14"/>
        <rFont val="Symbol"/>
        <charset val="2"/>
      </rPr>
      <t>·</t>
    </r>
    <r>
      <rPr>
        <sz val="14"/>
        <rFont val="Times New Roman"/>
        <charset val="134"/>
      </rPr>
      <t xml:space="preserve">      medication history </t>
    </r>
  </si>
  <si>
    <r>
      <rPr>
        <sz val="14"/>
        <rFont val="Symbol"/>
        <charset val="2"/>
      </rPr>
      <t>·</t>
    </r>
    <r>
      <rPr>
        <sz val="14"/>
        <rFont val="Times New Roman"/>
        <charset val="134"/>
      </rPr>
      <t>      Patient NPO Status</t>
    </r>
  </si>
  <si>
    <r>
      <rPr>
        <sz val="14"/>
        <rFont val="Symbol"/>
        <charset val="2"/>
      </rPr>
      <t>·</t>
    </r>
    <r>
      <rPr>
        <sz val="14"/>
        <rFont val="Times New Roman"/>
        <charset val="134"/>
      </rPr>
      <t xml:space="preserve">      Vital signs </t>
    </r>
  </si>
  <si>
    <r>
      <rPr>
        <sz val="14"/>
        <rFont val="Symbol"/>
        <charset val="2"/>
      </rPr>
      <t>·</t>
    </r>
    <r>
      <rPr>
        <sz val="14"/>
        <rFont val="Times New Roman"/>
        <charset val="134"/>
      </rPr>
      <t>      Age and weight</t>
    </r>
  </si>
  <si>
    <r>
      <rPr>
        <sz val="14"/>
        <rFont val="Symbol"/>
        <charset val="2"/>
      </rPr>
      <t>·</t>
    </r>
    <r>
      <rPr>
        <sz val="14"/>
        <rFont val="Times New Roman"/>
        <charset val="134"/>
      </rPr>
      <t xml:space="preserve">      ECG, </t>
    </r>
  </si>
  <si>
    <r>
      <rPr>
        <sz val="14"/>
        <rFont val="Symbol"/>
        <charset val="2"/>
      </rPr>
      <t>·</t>
    </r>
    <r>
      <rPr>
        <sz val="14"/>
        <rFont val="Times New Roman"/>
        <charset val="134"/>
      </rPr>
      <t>      Systems evaluation and airway evaluation</t>
    </r>
  </si>
  <si>
    <t>SMCS.76.f</t>
  </si>
  <si>
    <t>Preoperative evaluation is valid for three months, unless there were changes in the clinical status of the patient.</t>
  </si>
  <si>
    <t>SMCS.76.g</t>
  </si>
  <si>
    <t>Preoperative evaluation is recorded at the patient’s chart.</t>
  </si>
  <si>
    <t>SMCS.77</t>
  </si>
  <si>
    <t xml:space="preserve">Patient is continuously monitored during and after anaesthesia (general, moderate and deep). </t>
  </si>
  <si>
    <t>Total Measures: 7</t>
  </si>
  <si>
    <t xml:space="preserve">SMCS.77.a </t>
  </si>
  <si>
    <t xml:space="preserve">The unit has clear guide of monitoring patient during anaesthesia process (including moderate and deep anaesthesia). </t>
  </si>
  <si>
    <t>SMCS.77.b</t>
  </si>
  <si>
    <t>The unit ensures continuous clinical monitoring of the patient by a qualified anesthesiologist throughout the conduct of general anaesthesia, regional anaesthesia until the patient until discharged from anaesthesia care.</t>
  </si>
  <si>
    <t>SMCS.77.c</t>
  </si>
  <si>
    <t>Patient with sedation is monitored in the Operation Room and in recovery covering, Vital signs, Oxygen saturation, level of consciousness, skin colour.</t>
  </si>
  <si>
    <t>SMCS.77.d</t>
  </si>
  <si>
    <t>Patient’s monitoring continues after transfer to recovery room until the patient is stable.</t>
  </si>
  <si>
    <t xml:space="preserve">SMCS.77.e </t>
  </si>
  <si>
    <t xml:space="preserve">All monitoring findings are documented in patient electronic record </t>
  </si>
  <si>
    <t xml:space="preserve">SMCS.77.f </t>
  </si>
  <si>
    <t>Monitoring records are charted at the anaesthesia record at least every 5 minutes.</t>
  </si>
  <si>
    <t xml:space="preserve">SMCS.77.g </t>
  </si>
  <si>
    <t xml:space="preserve">The unit conducts audit to monitor the efficacy of patient care </t>
  </si>
  <si>
    <t>SMCS.78</t>
  </si>
  <si>
    <t xml:space="preserve">There is a clear process to monitor and manage patients post anaesthesia </t>
  </si>
  <si>
    <t>Total Measures: 9</t>
  </si>
  <si>
    <t xml:space="preserve">SMCS.78.a </t>
  </si>
  <si>
    <t xml:space="preserve">The unit has a clear policy and procedure guiding monitoring of patient during post-aesthesia phase. </t>
  </si>
  <si>
    <t>SMCS.78.b</t>
  </si>
  <si>
    <t xml:space="preserve">All staff are oriented on the policy.  </t>
  </si>
  <si>
    <t>SMCS.78.c</t>
  </si>
  <si>
    <t xml:space="preserve">Patients are transferred safely to Post Anaesthesia Care Unit (recovery room). </t>
  </si>
  <si>
    <t>SMCS.78.d</t>
  </si>
  <si>
    <t>The patient is continuously evaluated, and managed during the transport.</t>
  </si>
  <si>
    <t xml:space="preserve">SMCS.78.e </t>
  </si>
  <si>
    <r>
      <rPr>
        <sz val="14"/>
        <color theme="1"/>
        <rFont val="Times New Roman"/>
        <charset val="134"/>
      </rPr>
      <t>Patients are continuously evaluated at Post Anaesthesia Care Unit (</t>
    </r>
    <r>
      <rPr>
        <b/>
        <sz val="12"/>
        <color theme="1"/>
        <rFont val="Times New Roman"/>
        <charset val="134"/>
      </rPr>
      <t>PACU</t>
    </r>
    <r>
      <rPr>
        <sz val="12"/>
        <color theme="1"/>
        <rFont val="Times New Roman"/>
        <charset val="134"/>
      </rPr>
      <t>).</t>
    </r>
  </si>
  <si>
    <t>SMCS.78.f</t>
  </si>
  <si>
    <t xml:space="preserve">An ACLS Qualified nurse provides post anaesthesia care </t>
  </si>
  <si>
    <t>SMCS.78.g</t>
  </si>
  <si>
    <t xml:space="preserve">All monitoring finding and service provided in the recovery room are documented patients’ records. </t>
  </si>
  <si>
    <t>SMCS.78.h</t>
  </si>
  <si>
    <t>Patients are discharged for PACU when discharge criteria are met.</t>
  </si>
  <si>
    <t>SMCS.78.i</t>
  </si>
  <si>
    <t xml:space="preserve">Discharge order from PACU is signed by the anaesthesiologist.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</si>
</sst>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font>
      <sz val="12"/>
      <color theme="1"/>
      <name val="Calibri"/>
      <charset val="134"/>
      <scheme val="minor"/>
    </font>
    <font>
      <b/>
      <sz val="16"/>
      <color rgb="FF000000"/>
      <name val="Times New Roman"/>
      <charset val="134"/>
    </font>
    <font>
      <sz val="12"/>
      <color rgb="FF000000"/>
      <name val="Calibri"/>
      <charset val="134"/>
      <scheme val="minor"/>
    </font>
    <font>
      <b/>
      <sz val="22"/>
      <color rgb="FF000000"/>
      <name val="Times New Roman"/>
      <charset val="134"/>
    </font>
    <font>
      <sz val="11"/>
      <color rgb="FF9C6500"/>
      <name val="Calibri"/>
      <charset val="134"/>
      <scheme val="minor"/>
    </font>
    <font>
      <b/>
      <sz val="22"/>
      <color rgb="FFC00000"/>
      <name val="Times New Roman"/>
      <charset val="134"/>
    </font>
    <font>
      <b/>
      <sz val="14"/>
      <name val="Times New Roman"/>
      <charset val="134"/>
    </font>
    <font>
      <b/>
      <sz val="12"/>
      <color rgb="FF000000"/>
      <name val="Times New Roman"/>
      <charset val="134"/>
    </font>
    <font>
      <b/>
      <sz val="14"/>
      <color rgb="FF000000"/>
      <name val="Times New Roman"/>
      <charset val="134"/>
    </font>
    <font>
      <b/>
      <sz val="16"/>
      <color theme="1"/>
      <name val="Times New Roman"/>
      <charset val="134"/>
    </font>
    <font>
      <b/>
      <sz val="14"/>
      <color theme="1"/>
      <name val="Times New Roman"/>
      <charset val="134"/>
    </font>
    <font>
      <sz val="14"/>
      <color theme="1"/>
      <name val="Times New Roman"/>
      <charset val="134"/>
    </font>
    <font>
      <sz val="18"/>
      <color theme="1"/>
      <name val="Calibri"/>
      <charset val="134"/>
      <scheme val="minor"/>
    </font>
    <font>
      <sz val="16"/>
      <color theme="1"/>
      <name val="Calibri"/>
      <charset val="134"/>
      <scheme val="minor"/>
    </font>
    <font>
      <sz val="14"/>
      <name val="Times New Roman"/>
      <charset val="134"/>
    </font>
    <font>
      <sz val="14"/>
      <name val="Symbol"/>
      <charset val="2"/>
    </font>
    <font>
      <b/>
      <sz val="12"/>
      <color theme="1"/>
      <name val="Times New Roman"/>
      <charset val="134"/>
    </font>
    <font>
      <sz val="12"/>
      <color theme="1"/>
      <name val="Times New Roman"/>
      <charset val="134"/>
    </font>
  </fonts>
  <fills count="14">
    <fill>
      <patternFill patternType="none"/>
    </fill>
    <fill>
      <patternFill patternType="gray125"/>
    </fill>
    <fill>
      <patternFill patternType="solid">
        <fgColor rgb="FFE4DFEC"/>
        <bgColor rgb="FF000000"/>
      </patternFill>
    </fill>
    <fill>
      <patternFill patternType="solid">
        <fgColor rgb="FFDDD9C4"/>
        <bgColor rgb="FF000000"/>
      </patternFill>
    </fill>
    <fill>
      <patternFill patternType="solid">
        <fgColor rgb="FFF2F2F2"/>
        <bgColor rgb="FF000000"/>
      </patternFill>
    </fill>
    <fill>
      <patternFill patternType="solid">
        <fgColor rgb="FFFFEB9C"/>
        <bgColor indexed="64"/>
      </patternFill>
    </fill>
    <fill>
      <patternFill patternType="solid">
        <fgColor rgb="FFCCFFCC"/>
        <bgColor indexed="64"/>
      </patternFill>
    </fill>
    <fill>
      <patternFill patternType="solid">
        <fgColor rgb="FFF79646"/>
        <bgColor rgb="FF000000"/>
      </patternFill>
    </fill>
    <fill>
      <patternFill patternType="solid">
        <fgColor rgb="FFFFFF00"/>
        <bgColor indexed="64"/>
      </patternFill>
    </fill>
    <fill>
      <patternFill patternType="solid">
        <fgColor theme="4" tint="0.59999389629810485"/>
        <bgColor indexed="64"/>
      </patternFill>
    </fill>
    <fill>
      <patternFill patternType="solid">
        <fgColor theme="9" tint="0.79995117038483843"/>
        <bgColor indexed="64"/>
      </patternFill>
    </fill>
    <fill>
      <patternFill patternType="solid">
        <fgColor rgb="FFFFFFFF"/>
        <bgColor indexed="64"/>
      </patternFill>
    </fill>
    <fill>
      <patternFill patternType="solid">
        <fgColor theme="0"/>
        <bgColor indexed="64"/>
      </patternFill>
    </fill>
    <fill>
      <patternFill patternType="solid">
        <fgColor theme="5" tint="0.59999389629810485"/>
        <bgColor indexed="64"/>
      </patternFill>
    </fill>
  </fills>
  <borders count="18">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ck">
        <color auto="1"/>
      </bottom>
      <diagonal/>
    </border>
    <border>
      <left/>
      <right/>
      <top style="thin">
        <color auto="1"/>
      </top>
      <bottom style="thick">
        <color auto="1"/>
      </bottom>
      <diagonal/>
    </border>
    <border>
      <left style="thick">
        <color auto="1"/>
      </left>
      <right/>
      <top style="thin">
        <color auto="1"/>
      </top>
      <bottom style="thick">
        <color auto="1"/>
      </bottom>
      <diagonal/>
    </border>
    <border>
      <left/>
      <right style="thin">
        <color auto="1"/>
      </right>
      <top style="thin">
        <color auto="1"/>
      </top>
      <bottom style="thick">
        <color auto="1"/>
      </bottom>
      <diagonal/>
    </border>
    <border>
      <left style="thick">
        <color auto="1"/>
      </left>
      <right style="thick">
        <color auto="1"/>
      </right>
      <top style="thick">
        <color auto="1"/>
      </top>
      <bottom style="thick">
        <color auto="1"/>
      </bottom>
      <diagonal/>
    </border>
    <border>
      <left style="thick">
        <color auto="1"/>
      </left>
      <right/>
      <top style="thick">
        <color auto="1"/>
      </top>
      <bottom/>
      <diagonal/>
    </border>
    <border>
      <left/>
      <right/>
      <top style="thick">
        <color auto="1"/>
      </top>
      <bottom/>
      <diagonal/>
    </border>
    <border>
      <left/>
      <right/>
      <top style="thick">
        <color auto="1"/>
      </top>
      <bottom style="thick">
        <color auto="1"/>
      </bottom>
      <diagonal/>
    </border>
    <border>
      <left/>
      <right style="thick">
        <color auto="1"/>
      </right>
      <top style="thick">
        <color auto="1"/>
      </top>
      <bottom style="thick">
        <color auto="1"/>
      </bottom>
      <diagonal/>
    </border>
    <border>
      <left style="thick">
        <color auto="1"/>
      </left>
      <right/>
      <top style="thick">
        <color auto="1"/>
      </top>
      <bottom style="thick">
        <color auto="1"/>
      </bottom>
      <diagonal/>
    </border>
    <border>
      <left/>
      <right style="thick">
        <color auto="1"/>
      </right>
      <top/>
      <bottom style="thick">
        <color auto="1"/>
      </bottom>
      <diagonal/>
    </border>
    <border>
      <left style="thick">
        <color auto="1"/>
      </left>
      <right style="thick">
        <color auto="1"/>
      </right>
      <top/>
      <bottom style="thick">
        <color auto="1"/>
      </bottom>
      <diagonal/>
    </border>
    <border>
      <left/>
      <right style="thick">
        <color auto="1"/>
      </right>
      <top style="thick">
        <color auto="1"/>
      </top>
      <bottom/>
      <diagonal/>
    </border>
    <border>
      <left style="thick">
        <color auto="1"/>
      </left>
      <right style="thick">
        <color auto="1"/>
      </right>
      <top style="thick">
        <color auto="1"/>
      </top>
      <bottom/>
      <diagonal/>
    </border>
  </borders>
  <cellStyleXfs count="2">
    <xf numFmtId="0" fontId="0" fillId="0" borderId="0"/>
    <xf numFmtId="0" fontId="4" fillId="5" borderId="0" applyNumberFormat="0" applyBorder="0" applyAlignment="0" applyProtection="0"/>
  </cellStyleXfs>
  <cellXfs count="53">
    <xf numFmtId="0" fontId="0" fillId="0" borderId="0" xfId="0"/>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3" borderId="1" xfId="0" applyFont="1" applyFill="1" applyBorder="1" applyAlignment="1">
      <alignment horizontal="center" vertical="center"/>
    </xf>
    <xf numFmtId="0" fontId="1" fillId="3" borderId="2" xfId="0" applyFont="1" applyFill="1" applyBorder="1" applyAlignment="1">
      <alignment horizontal="center" vertical="center"/>
    </xf>
    <xf numFmtId="0" fontId="1" fillId="3" borderId="3" xfId="0" applyFont="1" applyFill="1" applyBorder="1" applyAlignment="1">
      <alignment horizontal="center" vertical="center"/>
    </xf>
    <xf numFmtId="0" fontId="1" fillId="4" borderId="1" xfId="0" applyFont="1" applyFill="1" applyBorder="1" applyAlignment="1">
      <alignment horizontal="center" vertical="center"/>
    </xf>
    <xf numFmtId="0" fontId="1" fillId="4" borderId="2" xfId="0" applyFont="1" applyFill="1" applyBorder="1" applyAlignment="1">
      <alignment horizontal="center" vertical="center"/>
    </xf>
    <xf numFmtId="0" fontId="1" fillId="4" borderId="3" xfId="0" applyFont="1" applyFill="1" applyBorder="1" applyAlignment="1">
      <alignment horizontal="center" vertical="center"/>
    </xf>
    <xf numFmtId="0" fontId="2" fillId="4" borderId="4" xfId="0" applyFont="1" applyFill="1" applyBorder="1"/>
    <xf numFmtId="0" fontId="3" fillId="4" borderId="5" xfId="0" applyFont="1" applyFill="1" applyBorder="1" applyAlignment="1">
      <alignment horizontal="center" vertical="center"/>
    </xf>
    <xf numFmtId="0" fontId="5" fillId="5" borderId="6" xfId="1" applyFont="1" applyBorder="1" applyAlignment="1">
      <alignment horizontal="center" vertical="center"/>
    </xf>
    <xf numFmtId="0" fontId="5" fillId="5" borderId="5" xfId="1" applyFont="1" applyBorder="1" applyAlignment="1">
      <alignment horizontal="center" vertical="center"/>
    </xf>
    <xf numFmtId="0" fontId="5" fillId="5" borderId="7" xfId="1" applyFont="1" applyBorder="1" applyAlignment="1">
      <alignment horizontal="center" vertical="center"/>
    </xf>
    <xf numFmtId="0" fontId="6" fillId="6" borderId="8" xfId="0" applyFont="1" applyFill="1" applyBorder="1" applyAlignment="1">
      <alignment horizontal="center" vertical="center"/>
    </xf>
    <xf numFmtId="0" fontId="6" fillId="6" borderId="8" xfId="0" applyFont="1" applyFill="1" applyBorder="1" applyAlignment="1">
      <alignment vertical="center"/>
    </xf>
    <xf numFmtId="0" fontId="7" fillId="7" borderId="8" xfId="0" applyFont="1" applyFill="1" applyBorder="1" applyAlignment="1">
      <alignment horizontal="center" vertical="center"/>
    </xf>
    <xf numFmtId="0" fontId="8" fillId="7" borderId="8" xfId="0" applyFont="1" applyFill="1" applyBorder="1" applyAlignment="1">
      <alignment horizontal="center" vertical="center"/>
    </xf>
    <xf numFmtId="0" fontId="9" fillId="8" borderId="9" xfId="0" applyFont="1" applyFill="1" applyBorder="1" applyAlignment="1">
      <alignment horizontal="center" vertical="center" wrapText="1"/>
    </xf>
    <xf numFmtId="0" fontId="9" fillId="8" borderId="10" xfId="0" applyFont="1" applyFill="1" applyBorder="1" applyAlignment="1">
      <alignment horizontal="center" vertical="center" wrapText="1"/>
    </xf>
    <xf numFmtId="0" fontId="9" fillId="8" borderId="11" xfId="0" applyFont="1" applyFill="1" applyBorder="1" applyAlignment="1">
      <alignment horizontal="center" vertical="center" wrapText="1"/>
    </xf>
    <xf numFmtId="0" fontId="9" fillId="8" borderId="12" xfId="0" applyFont="1" applyFill="1" applyBorder="1" applyAlignment="1">
      <alignment horizontal="center" vertical="center" wrapText="1"/>
    </xf>
    <xf numFmtId="0" fontId="10" fillId="9" borderId="3" xfId="0" applyFont="1" applyFill="1" applyBorder="1" applyAlignment="1">
      <alignment horizontal="left" vertical="center" wrapText="1"/>
    </xf>
    <xf numFmtId="0" fontId="10" fillId="9" borderId="13" xfId="0" applyFont="1" applyFill="1" applyBorder="1" applyAlignment="1">
      <alignment horizontal="left" vertical="center"/>
    </xf>
    <xf numFmtId="0" fontId="10" fillId="9" borderId="12" xfId="0" applyFont="1" applyFill="1" applyBorder="1" applyAlignment="1">
      <alignment horizontal="left" vertical="center"/>
    </xf>
    <xf numFmtId="0" fontId="10" fillId="9" borderId="12" xfId="0" applyFont="1" applyFill="1" applyBorder="1" applyAlignment="1">
      <alignment horizontal="left" vertical="center"/>
    </xf>
    <xf numFmtId="0" fontId="10" fillId="10" borderId="8" xfId="0" applyFont="1" applyFill="1" applyBorder="1" applyAlignment="1">
      <alignment vertical="center" wrapText="1"/>
    </xf>
    <xf numFmtId="0" fontId="11" fillId="11" borderId="8" xfId="0" applyFont="1" applyFill="1" applyBorder="1" applyAlignment="1">
      <alignment vertical="center" wrapText="1"/>
    </xf>
    <xf numFmtId="0" fontId="12" fillId="12" borderId="14" xfId="0" applyFont="1" applyFill="1" applyBorder="1" applyProtection="1">
      <protection locked="0"/>
    </xf>
    <xf numFmtId="0" fontId="0" fillId="0" borderId="15" xfId="0" applyBorder="1" applyProtection="1">
      <protection locked="0"/>
    </xf>
    <xf numFmtId="0" fontId="12" fillId="12" borderId="12" xfId="0" applyFont="1" applyFill="1" applyBorder="1" applyProtection="1">
      <protection locked="0"/>
    </xf>
    <xf numFmtId="0" fontId="0" fillId="0" borderId="8" xfId="0" applyBorder="1" applyProtection="1">
      <protection locked="0"/>
    </xf>
    <xf numFmtId="0" fontId="12" fillId="12" borderId="8" xfId="0" applyFont="1" applyFill="1" applyBorder="1" applyAlignment="1" applyProtection="1">
      <alignment horizontal="center"/>
      <protection locked="0"/>
    </xf>
    <xf numFmtId="0" fontId="10" fillId="9" borderId="0" xfId="0" applyFont="1" applyFill="1" applyAlignment="1">
      <alignment vertical="center"/>
    </xf>
    <xf numFmtId="0" fontId="10" fillId="9" borderId="8" xfId="0" applyFont="1" applyFill="1" applyBorder="1" applyAlignment="1">
      <alignment vertical="center" wrapText="1"/>
    </xf>
    <xf numFmtId="0" fontId="10" fillId="9" borderId="16" xfId="0" applyFont="1" applyFill="1" applyBorder="1" applyAlignment="1">
      <alignment horizontal="left" vertical="center"/>
    </xf>
    <xf numFmtId="0" fontId="6" fillId="9" borderId="17" xfId="0" applyFont="1" applyFill="1" applyBorder="1" applyAlignment="1">
      <alignment horizontal="justify" vertical="center" wrapText="1"/>
    </xf>
    <xf numFmtId="0" fontId="10" fillId="9" borderId="17" xfId="0" applyFont="1" applyFill="1" applyBorder="1" applyAlignment="1">
      <alignment horizontal="left" vertical="center" wrapText="1"/>
    </xf>
    <xf numFmtId="0" fontId="6" fillId="10" borderId="8" xfId="0" applyFont="1" applyFill="1" applyBorder="1" applyAlignment="1">
      <alignment horizontal="justify" vertical="center" wrapText="1"/>
    </xf>
    <xf numFmtId="0" fontId="11" fillId="13" borderId="8" xfId="0" applyFont="1" applyFill="1" applyBorder="1" applyAlignment="1">
      <alignment vertical="center" wrapText="1"/>
    </xf>
    <xf numFmtId="0" fontId="13" fillId="13" borderId="13" xfId="0" applyFont="1" applyFill="1" applyBorder="1" applyAlignment="1">
      <alignment horizontal="center"/>
    </xf>
    <xf numFmtId="0" fontId="13" fillId="13" borderId="11" xfId="0" applyFont="1" applyFill="1" applyBorder="1" applyAlignment="1">
      <alignment horizontal="center"/>
    </xf>
    <xf numFmtId="0" fontId="13" fillId="13" borderId="12" xfId="0" applyFont="1" applyFill="1" applyBorder="1" applyAlignment="1">
      <alignment horizontal="center"/>
    </xf>
    <xf numFmtId="0" fontId="14" fillId="11" borderId="8" xfId="0" applyFont="1" applyFill="1" applyBorder="1" applyAlignment="1">
      <alignment horizontal="left" vertical="center" wrapText="1" indent="3"/>
    </xf>
    <xf numFmtId="0" fontId="13" fillId="0" borderId="8" xfId="0" applyFont="1" applyBorder="1" applyProtection="1">
      <protection locked="0"/>
    </xf>
    <xf numFmtId="0" fontId="6" fillId="10" borderId="8" xfId="0" applyFont="1" applyFill="1" applyBorder="1" applyAlignment="1">
      <alignment horizontal="justify" vertical="center" wrapText="1"/>
    </xf>
    <xf numFmtId="0" fontId="10" fillId="9" borderId="17" xfId="0" applyFont="1" applyFill="1" applyBorder="1" applyAlignment="1">
      <alignment vertical="center" wrapText="1"/>
    </xf>
    <xf numFmtId="0" fontId="15" fillId="11" borderId="8" xfId="0" applyFont="1" applyFill="1" applyBorder="1" applyAlignment="1">
      <alignment horizontal="left" vertical="center" wrapText="1" indent="1"/>
    </xf>
    <xf numFmtId="0" fontId="10" fillId="9" borderId="17" xfId="0" applyFont="1" applyFill="1" applyBorder="1" applyAlignment="1">
      <alignment horizontal="justify" vertical="center" wrapText="1"/>
    </xf>
    <xf numFmtId="0" fontId="16" fillId="10" borderId="12" xfId="0" applyFont="1" applyFill="1" applyBorder="1" applyAlignment="1">
      <alignment horizontal="justify" vertical="center" wrapText="1"/>
    </xf>
    <xf numFmtId="0" fontId="15" fillId="11" borderId="8" xfId="0" applyFont="1" applyFill="1" applyBorder="1" applyAlignment="1">
      <alignment horizontal="left" vertical="center" wrapText="1" indent="3"/>
    </xf>
    <xf numFmtId="0" fontId="11" fillId="11" borderId="8" xfId="0" applyFont="1" applyFill="1" applyBorder="1" applyAlignment="1">
      <alignment horizontal="justify" vertical="center" wrapText="1"/>
    </xf>
  </cellXfs>
  <cellStyles count="2">
    <cellStyle name="Neutral" xfId="1"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AF114"/>
  <sheetViews>
    <sheetView tabSelected="1" topLeftCell="B100" workbookViewId="0">
      <selection activeCell="C114" sqref="C114"/>
    </sheetView>
  </sheetViews>
  <sheetFormatPr defaultColWidth="9" defaultRowHeight="15.6"/>
  <cols>
    <col min="1" max="1" width="12.69921875" customWidth="1"/>
    <col min="2" max="2" width="70.69921875" customWidth="1"/>
    <col min="3" max="3" width="16.59765625" customWidth="1"/>
    <col min="4" max="5" width="70.59765625" customWidth="1"/>
  </cols>
  <sheetData>
    <row r="1" spans="1:32" ht="20.399999999999999">
      <c r="A1" s="1" t="s">
        <v>0</v>
      </c>
      <c r="B1" s="2"/>
      <c r="C1" s="2"/>
      <c r="D1" s="2"/>
      <c r="E1" s="3"/>
    </row>
    <row r="2" spans="1:32" ht="20.399999999999999">
      <c r="A2" s="4" t="s">
        <v>1</v>
      </c>
      <c r="B2" s="5"/>
      <c r="C2" s="5"/>
      <c r="D2" s="5"/>
      <c r="E2" s="6"/>
    </row>
    <row r="3" spans="1:32" ht="20.399999999999999">
      <c r="A3" s="7" t="s">
        <v>2</v>
      </c>
      <c r="B3" s="8"/>
      <c r="C3" s="8"/>
      <c r="D3" s="8"/>
      <c r="E3" s="9"/>
    </row>
    <row r="4" spans="1:32" ht="28.2" thickBot="1">
      <c r="A4" s="10"/>
      <c r="B4" s="11"/>
      <c r="C4" s="12" t="str">
        <f>"Total Score: "&amp;ROUND((AA4/AB4)*100,2)&amp;"%"</f>
        <v>Total Score: 0%</v>
      </c>
      <c r="D4" s="13"/>
      <c r="E4" s="14"/>
      <c r="AA4">
        <f>SUM(AA7:AA114)+SUM(AB7:AB114)*0.5</f>
        <v>0</v>
      </c>
      <c r="AB4">
        <f>COUNT(AA7:AA114)-SUM(AB7:AD114)</f>
        <v>96</v>
      </c>
    </row>
    <row r="5" spans="1:32" ht="42.75" customHeight="1" thickTop="1" thickBot="1">
      <c r="A5" s="15" t="s">
        <v>3</v>
      </c>
      <c r="B5" s="16" t="s">
        <v>4</v>
      </c>
      <c r="C5" s="17" t="s">
        <v>5</v>
      </c>
      <c r="D5" s="18" t="s">
        <v>6</v>
      </c>
      <c r="E5" s="18" t="s">
        <v>7</v>
      </c>
    </row>
    <row r="6" spans="1:32" ht="54" customHeight="1" thickTop="1" thickBot="1">
      <c r="A6" s="19" t="s">
        <v>8</v>
      </c>
      <c r="B6" s="20"/>
      <c r="C6" s="21"/>
      <c r="D6" s="21"/>
      <c r="E6" s="22"/>
    </row>
    <row r="7" spans="1:32" ht="36" thickTop="1" thickBot="1">
      <c r="A7" s="23" t="s">
        <v>9</v>
      </c>
      <c r="B7" s="23" t="s">
        <v>10</v>
      </c>
      <c r="C7" s="24" t="s">
        <v>11</v>
      </c>
      <c r="D7" s="25"/>
      <c r="E7" s="26" t="str">
        <f>"Quotation: "&amp;ROUND((AE7/AF7)*100,2)&amp;"%"</f>
        <v>Quotation: 0%</v>
      </c>
      <c r="AE7">
        <f>SUM(AA8:AA11)+SUM(AB8:AB11)*0.5</f>
        <v>0</v>
      </c>
      <c r="AF7">
        <f>COUNT(AA8:AA11)-SUM(AD8:AD11)</f>
        <v>4</v>
      </c>
    </row>
    <row r="8" spans="1:32" ht="73.2" thickTop="1" thickBot="1">
      <c r="A8" s="27" t="s">
        <v>12</v>
      </c>
      <c r="B8" s="28" t="s">
        <v>13</v>
      </c>
      <c r="C8" s="29"/>
      <c r="D8" s="30"/>
      <c r="E8" s="30"/>
      <c r="AA8">
        <f>IF(C8="Met",1,0)</f>
        <v>0</v>
      </c>
      <c r="AB8">
        <f>IF(C8="Partially Met",1,0)</f>
        <v>0</v>
      </c>
      <c r="AC8">
        <f>IF(C8="UnMet",1,0)</f>
        <v>0</v>
      </c>
      <c r="AD8">
        <f>IF(C8="Not Applicable",1,0)</f>
        <v>0</v>
      </c>
    </row>
    <row r="9" spans="1:32" ht="37.200000000000003" thickTop="1" thickBot="1">
      <c r="A9" s="27" t="s">
        <v>14</v>
      </c>
      <c r="B9" s="28" t="s">
        <v>15</v>
      </c>
      <c r="C9" s="31"/>
      <c r="D9" s="32"/>
      <c r="E9" s="32"/>
      <c r="AA9">
        <f>IF(C9="Met",1,0)</f>
        <v>0</v>
      </c>
      <c r="AB9">
        <f>IF(C9="Partially Met",1,0)</f>
        <v>0</v>
      </c>
      <c r="AC9">
        <f>IF(C9="UnMet",1,0)</f>
        <v>0</v>
      </c>
      <c r="AD9">
        <f>IF(C9="Not Applicable",1,0)</f>
        <v>0</v>
      </c>
    </row>
    <row r="10" spans="1:32" ht="55.2" thickTop="1" thickBot="1">
      <c r="A10" s="27" t="s">
        <v>16</v>
      </c>
      <c r="B10" s="28" t="s">
        <v>17</v>
      </c>
      <c r="C10" s="31"/>
      <c r="D10" s="32"/>
      <c r="E10" s="32"/>
      <c r="AA10">
        <f>IF(C10="Met",1,0)</f>
        <v>0</v>
      </c>
      <c r="AB10">
        <f>IF(C10="Partially Met",1,0)</f>
        <v>0</v>
      </c>
      <c r="AC10">
        <f>IF(C10="UnMet",1,0)</f>
        <v>0</v>
      </c>
      <c r="AD10">
        <f>IF(C10="Not Applicable",1,0)</f>
        <v>0</v>
      </c>
    </row>
    <row r="11" spans="1:32" ht="37.200000000000003" thickTop="1" thickBot="1">
      <c r="A11" s="27" t="s">
        <v>18</v>
      </c>
      <c r="B11" s="28" t="s">
        <v>19</v>
      </c>
      <c r="C11" s="33"/>
      <c r="D11" s="32"/>
      <c r="E11" s="32"/>
      <c r="AA11">
        <f>IF(C11="Met",1,0)</f>
        <v>0</v>
      </c>
      <c r="AB11">
        <f>IF(C11="Partially Met",1,0)</f>
        <v>0</v>
      </c>
      <c r="AC11">
        <f>IF(C11="UnMet",1,0)</f>
        <v>0</v>
      </c>
      <c r="AD11">
        <f>IF(C11="Not Applicable",1,0)</f>
        <v>0</v>
      </c>
    </row>
    <row r="12" spans="1:32" ht="55.5" customHeight="1" thickTop="1" thickBot="1">
      <c r="A12" s="34" t="s">
        <v>20</v>
      </c>
      <c r="B12" s="35" t="s">
        <v>21</v>
      </c>
      <c r="C12" s="24" t="s">
        <v>11</v>
      </c>
      <c r="D12" s="25"/>
      <c r="E12" s="36" t="str">
        <f>"Quotation: "&amp;ROUND((AE12/AF12)*100,2)&amp;"%"</f>
        <v>Quotation: 0%</v>
      </c>
      <c r="AE12">
        <f>SUM(AA13:AA16)+SUM(AB13:AB16)*0.5</f>
        <v>0</v>
      </c>
      <c r="AF12">
        <f>COUNT(AA13:AA16)-SUM(AD13:AD16)</f>
        <v>4</v>
      </c>
    </row>
    <row r="13" spans="1:32" ht="37.200000000000003" thickTop="1" thickBot="1">
      <c r="A13" s="27" t="s">
        <v>22</v>
      </c>
      <c r="B13" s="28" t="s">
        <v>23</v>
      </c>
      <c r="C13" s="33"/>
      <c r="D13" s="32"/>
      <c r="E13" s="32"/>
      <c r="AA13">
        <f>IF(C13="Met",1,0)</f>
        <v>0</v>
      </c>
      <c r="AB13">
        <f>IF(C13="Partially Met",1,0)</f>
        <v>0</v>
      </c>
      <c r="AC13">
        <f>IF(C13="UnMet",1,0)</f>
        <v>0</v>
      </c>
      <c r="AD13">
        <f>IF(C13="Not Applicable",1,0)</f>
        <v>0</v>
      </c>
    </row>
    <row r="14" spans="1:32" ht="55.2" thickTop="1" thickBot="1">
      <c r="A14" s="27" t="s">
        <v>24</v>
      </c>
      <c r="B14" s="28" t="s">
        <v>25</v>
      </c>
      <c r="C14" s="33"/>
      <c r="D14" s="32"/>
      <c r="E14" s="32"/>
      <c r="AA14">
        <f>IF(C14="Met",1,0)</f>
        <v>0</v>
      </c>
      <c r="AB14">
        <f>IF(C14="Partially Met",1,0)</f>
        <v>0</v>
      </c>
      <c r="AC14">
        <f>IF(C14="UnMet",1,0)</f>
        <v>0</v>
      </c>
      <c r="AD14">
        <f>IF(C14="Not Applicable",1,0)</f>
        <v>0</v>
      </c>
    </row>
    <row r="15" spans="1:32" ht="24.6" thickTop="1" thickBot="1">
      <c r="A15" s="27" t="s">
        <v>26</v>
      </c>
      <c r="B15" s="28" t="s">
        <v>27</v>
      </c>
      <c r="C15" s="33"/>
      <c r="D15" s="32"/>
      <c r="E15" s="32"/>
      <c r="AA15">
        <f>IF(C15="Met",1,0)</f>
        <v>0</v>
      </c>
      <c r="AB15">
        <f>IF(C15="Partially Met",1,0)</f>
        <v>0</v>
      </c>
      <c r="AC15">
        <f>IF(C15="UnMet",1,0)</f>
        <v>0</v>
      </c>
      <c r="AD15">
        <f>IF(C15="Not Applicable",1,0)</f>
        <v>0</v>
      </c>
    </row>
    <row r="16" spans="1:32" ht="91.2" thickTop="1" thickBot="1">
      <c r="A16" s="27" t="s">
        <v>28</v>
      </c>
      <c r="B16" s="28" t="s">
        <v>29</v>
      </c>
      <c r="C16" s="33"/>
      <c r="D16" s="32"/>
      <c r="E16" s="32"/>
      <c r="AA16">
        <f>IF(C16="Met",1,0)</f>
        <v>0</v>
      </c>
      <c r="AB16">
        <f>IF(C16="Partially Met",1,0)</f>
        <v>0</v>
      </c>
      <c r="AC16">
        <f>IF(C16="UnMet",1,0)</f>
        <v>0</v>
      </c>
      <c r="AD16">
        <f>IF(C16="Not Applicable",1,0)</f>
        <v>0</v>
      </c>
    </row>
    <row r="17" spans="1:32" ht="49.5" customHeight="1" thickTop="1" thickBot="1">
      <c r="A17" s="37" t="s">
        <v>30</v>
      </c>
      <c r="B17" s="38" t="s">
        <v>31</v>
      </c>
      <c r="C17" s="24" t="s">
        <v>32</v>
      </c>
      <c r="D17" s="25"/>
      <c r="E17" s="36" t="str">
        <f>"Quotation: "&amp;ROUND((AE17/AF17)*100,2)&amp;"%"</f>
        <v>Quotation: 0%</v>
      </c>
      <c r="AE17">
        <f>SUM(AA18:AA31)+SUM(AB18:AB31)*0.5</f>
        <v>0</v>
      </c>
      <c r="AF17">
        <f>COUNT(AA18:AA31)-SUM(AD18:AD31)</f>
        <v>13</v>
      </c>
    </row>
    <row r="18" spans="1:32" ht="37.200000000000003" thickTop="1" thickBot="1">
      <c r="A18" s="39" t="s">
        <v>33</v>
      </c>
      <c r="B18" s="40" t="s">
        <v>34</v>
      </c>
      <c r="C18" s="41"/>
      <c r="D18" s="42"/>
      <c r="E18" s="43"/>
    </row>
    <row r="19" spans="1:32" ht="22.2" thickTop="1" thickBot="1">
      <c r="A19" s="39"/>
      <c r="B19" s="44" t="s">
        <v>35</v>
      </c>
      <c r="C19" s="45"/>
      <c r="D19" s="32"/>
      <c r="E19" s="32"/>
      <c r="AA19">
        <f t="shared" ref="AA19:AA31" si="0">IF(C19="Met",1,0)</f>
        <v>0</v>
      </c>
      <c r="AB19">
        <f t="shared" ref="AB19:AB31" si="1">IF(C19="Partially Met",1,0)</f>
        <v>0</v>
      </c>
      <c r="AC19">
        <f t="shared" ref="AC19:AC31" si="2">IF(C19="UnMet",1,0)</f>
        <v>0</v>
      </c>
      <c r="AD19">
        <f t="shared" ref="AD19:AD31" si="3">IF(C19="Not Applicable",1,0)</f>
        <v>0</v>
      </c>
    </row>
    <row r="20" spans="1:32" ht="37.200000000000003" thickTop="1" thickBot="1">
      <c r="A20" s="39"/>
      <c r="B20" s="44" t="s">
        <v>36</v>
      </c>
      <c r="C20" s="45"/>
      <c r="D20" s="32"/>
      <c r="E20" s="32"/>
      <c r="AA20">
        <f t="shared" si="0"/>
        <v>0</v>
      </c>
      <c r="AB20">
        <f t="shared" si="1"/>
        <v>0</v>
      </c>
      <c r="AC20">
        <f t="shared" si="2"/>
        <v>0</v>
      </c>
      <c r="AD20">
        <f t="shared" si="3"/>
        <v>0</v>
      </c>
    </row>
    <row r="21" spans="1:32" ht="22.2" thickTop="1" thickBot="1">
      <c r="A21" s="39"/>
      <c r="B21" s="44" t="s">
        <v>37</v>
      </c>
      <c r="C21" s="45"/>
      <c r="D21" s="32"/>
      <c r="E21" s="32"/>
      <c r="AA21">
        <f t="shared" si="0"/>
        <v>0</v>
      </c>
      <c r="AB21">
        <f t="shared" si="1"/>
        <v>0</v>
      </c>
      <c r="AC21">
        <f t="shared" si="2"/>
        <v>0</v>
      </c>
      <c r="AD21">
        <f t="shared" si="3"/>
        <v>0</v>
      </c>
    </row>
    <row r="22" spans="1:32" ht="22.2" thickTop="1" thickBot="1">
      <c r="A22" s="39"/>
      <c r="B22" s="44" t="s">
        <v>38</v>
      </c>
      <c r="C22" s="45"/>
      <c r="D22" s="32"/>
      <c r="E22" s="32"/>
      <c r="AA22">
        <f t="shared" si="0"/>
        <v>0</v>
      </c>
      <c r="AB22">
        <f t="shared" si="1"/>
        <v>0</v>
      </c>
      <c r="AC22">
        <f t="shared" si="2"/>
        <v>0</v>
      </c>
      <c r="AD22">
        <f t="shared" si="3"/>
        <v>0</v>
      </c>
    </row>
    <row r="23" spans="1:32" ht="22.2" thickTop="1" thickBot="1">
      <c r="A23" s="39"/>
      <c r="B23" s="44" t="s">
        <v>39</v>
      </c>
      <c r="C23" s="45"/>
      <c r="D23" s="32"/>
      <c r="E23" s="32"/>
      <c r="AA23">
        <f t="shared" si="0"/>
        <v>0</v>
      </c>
      <c r="AB23">
        <f t="shared" si="1"/>
        <v>0</v>
      </c>
      <c r="AC23">
        <f t="shared" si="2"/>
        <v>0</v>
      </c>
      <c r="AD23">
        <f t="shared" si="3"/>
        <v>0</v>
      </c>
    </row>
    <row r="24" spans="1:32" ht="22.2" thickTop="1" thickBot="1">
      <c r="A24" s="39"/>
      <c r="B24" s="44" t="s">
        <v>40</v>
      </c>
      <c r="C24" s="45"/>
      <c r="D24" s="32"/>
      <c r="E24" s="32"/>
      <c r="AA24">
        <f t="shared" si="0"/>
        <v>0</v>
      </c>
      <c r="AB24">
        <f t="shared" si="1"/>
        <v>0</v>
      </c>
      <c r="AC24">
        <f t="shared" si="2"/>
        <v>0</v>
      </c>
      <c r="AD24">
        <f t="shared" si="3"/>
        <v>0</v>
      </c>
    </row>
    <row r="25" spans="1:32" ht="22.2" thickTop="1" thickBot="1">
      <c r="A25" s="39"/>
      <c r="B25" s="44" t="s">
        <v>41</v>
      </c>
      <c r="C25" s="45"/>
      <c r="D25" s="32"/>
      <c r="E25" s="32"/>
      <c r="AA25">
        <f t="shared" si="0"/>
        <v>0</v>
      </c>
      <c r="AB25">
        <f t="shared" si="1"/>
        <v>0</v>
      </c>
      <c r="AC25">
        <f t="shared" si="2"/>
        <v>0</v>
      </c>
      <c r="AD25">
        <f t="shared" si="3"/>
        <v>0</v>
      </c>
    </row>
    <row r="26" spans="1:32" ht="22.2" thickTop="1" thickBot="1">
      <c r="A26" s="39"/>
      <c r="B26" s="44" t="s">
        <v>42</v>
      </c>
      <c r="C26" s="45"/>
      <c r="D26" s="32"/>
      <c r="E26" s="32"/>
      <c r="AA26">
        <f t="shared" si="0"/>
        <v>0</v>
      </c>
      <c r="AB26">
        <f t="shared" si="1"/>
        <v>0</v>
      </c>
      <c r="AC26">
        <f t="shared" si="2"/>
        <v>0</v>
      </c>
      <c r="AD26">
        <f t="shared" si="3"/>
        <v>0</v>
      </c>
    </row>
    <row r="27" spans="1:32" ht="22.2" thickTop="1" thickBot="1">
      <c r="A27" s="39"/>
      <c r="B27" s="44" t="s">
        <v>43</v>
      </c>
      <c r="C27" s="45"/>
      <c r="D27" s="32"/>
      <c r="E27" s="32"/>
      <c r="AA27">
        <f t="shared" si="0"/>
        <v>0</v>
      </c>
      <c r="AB27">
        <f t="shared" si="1"/>
        <v>0</v>
      </c>
      <c r="AC27">
        <f t="shared" si="2"/>
        <v>0</v>
      </c>
      <c r="AD27">
        <f t="shared" si="3"/>
        <v>0</v>
      </c>
    </row>
    <row r="28" spans="1:32" ht="22.2" thickTop="1" thickBot="1">
      <c r="A28" s="39"/>
      <c r="B28" s="44" t="s">
        <v>44</v>
      </c>
      <c r="C28" s="45"/>
      <c r="D28" s="32"/>
      <c r="E28" s="32"/>
      <c r="AA28">
        <f t="shared" si="0"/>
        <v>0</v>
      </c>
      <c r="AB28">
        <f t="shared" si="1"/>
        <v>0</v>
      </c>
      <c r="AC28">
        <f t="shared" si="2"/>
        <v>0</v>
      </c>
      <c r="AD28">
        <f t="shared" si="3"/>
        <v>0</v>
      </c>
    </row>
    <row r="29" spans="1:32" ht="22.2" thickTop="1" thickBot="1">
      <c r="A29" s="39"/>
      <c r="B29" s="44" t="s">
        <v>45</v>
      </c>
      <c r="C29" s="45"/>
      <c r="D29" s="32"/>
      <c r="E29" s="32"/>
      <c r="AA29">
        <f t="shared" si="0"/>
        <v>0</v>
      </c>
      <c r="AB29">
        <f t="shared" si="1"/>
        <v>0</v>
      </c>
      <c r="AC29">
        <f t="shared" si="2"/>
        <v>0</v>
      </c>
      <c r="AD29">
        <f t="shared" si="3"/>
        <v>0</v>
      </c>
    </row>
    <row r="30" spans="1:32" ht="37.200000000000003" thickTop="1" thickBot="1">
      <c r="A30" s="46" t="s">
        <v>46</v>
      </c>
      <c r="B30" s="28" t="s">
        <v>47</v>
      </c>
      <c r="C30" s="45"/>
      <c r="D30" s="32"/>
      <c r="E30" s="32"/>
      <c r="AA30">
        <f t="shared" si="0"/>
        <v>0</v>
      </c>
      <c r="AB30">
        <f t="shared" si="1"/>
        <v>0</v>
      </c>
      <c r="AC30">
        <f t="shared" si="2"/>
        <v>0</v>
      </c>
      <c r="AD30">
        <f t="shared" si="3"/>
        <v>0</v>
      </c>
    </row>
    <row r="31" spans="1:32" ht="37.200000000000003" thickTop="1" thickBot="1">
      <c r="A31" s="46" t="s">
        <v>48</v>
      </c>
      <c r="B31" s="28" t="s">
        <v>49</v>
      </c>
      <c r="C31" s="45"/>
      <c r="D31" s="32"/>
      <c r="E31" s="32"/>
      <c r="AA31">
        <f t="shared" si="0"/>
        <v>0</v>
      </c>
      <c r="AB31">
        <f t="shared" si="1"/>
        <v>0</v>
      </c>
      <c r="AC31">
        <f t="shared" si="2"/>
        <v>0</v>
      </c>
      <c r="AD31">
        <f t="shared" si="3"/>
        <v>0</v>
      </c>
    </row>
    <row r="32" spans="1:32" ht="65.25" customHeight="1" thickTop="1" thickBot="1">
      <c r="A32" s="37" t="s">
        <v>50</v>
      </c>
      <c r="B32" s="47" t="s">
        <v>51</v>
      </c>
      <c r="C32" s="24" t="s">
        <v>52</v>
      </c>
      <c r="D32" s="25"/>
      <c r="E32" s="36" t="str">
        <f>"Quotation: "&amp;ROUND((AE32/AF32)*100,2)&amp;"%"</f>
        <v>Quotation: 0%</v>
      </c>
      <c r="AE32">
        <f>SUM(AA33:AA59)+SUM(AB33:AB59)*0.5</f>
        <v>0</v>
      </c>
      <c r="AF32">
        <f>COUNT(AA33:AA59)-SUM(AD33:AD59)</f>
        <v>26</v>
      </c>
    </row>
    <row r="33" spans="1:30" ht="37.200000000000003" thickTop="1" thickBot="1">
      <c r="A33" s="39" t="s">
        <v>53</v>
      </c>
      <c r="B33" s="40" t="s">
        <v>54</v>
      </c>
      <c r="C33" s="41"/>
      <c r="D33" s="42"/>
      <c r="E33" s="43"/>
    </row>
    <row r="34" spans="1:30" ht="22.2" thickTop="1" thickBot="1">
      <c r="A34" s="39"/>
      <c r="B34" s="28" t="s">
        <v>55</v>
      </c>
      <c r="C34" s="45"/>
      <c r="D34" s="32"/>
      <c r="E34" s="32"/>
      <c r="AA34">
        <f t="shared" ref="AA34:AA59" si="4">IF(C34="Met",1,0)</f>
        <v>0</v>
      </c>
      <c r="AB34">
        <f t="shared" ref="AB34:AB59" si="5">IF(C34="Partially Met",1,0)</f>
        <v>0</v>
      </c>
      <c r="AC34">
        <f t="shared" ref="AC34:AC59" si="6">IF(C34="UnMet",1,0)</f>
        <v>0</v>
      </c>
      <c r="AD34">
        <f t="shared" ref="AD34:AD59" si="7">IF(C34="Not Applicable",1,0)</f>
        <v>0</v>
      </c>
    </row>
    <row r="35" spans="1:30" ht="22.2" thickTop="1" thickBot="1">
      <c r="A35" s="39"/>
      <c r="B35" s="28" t="s">
        <v>56</v>
      </c>
      <c r="C35" s="45"/>
      <c r="D35" s="32"/>
      <c r="E35" s="32"/>
      <c r="AA35">
        <f t="shared" si="4"/>
        <v>0</v>
      </c>
      <c r="AB35">
        <f t="shared" si="5"/>
        <v>0</v>
      </c>
      <c r="AC35">
        <f t="shared" si="6"/>
        <v>0</v>
      </c>
      <c r="AD35">
        <f t="shared" si="7"/>
        <v>0</v>
      </c>
    </row>
    <row r="36" spans="1:30" ht="22.2" thickTop="1" thickBot="1">
      <c r="A36" s="39"/>
      <c r="B36" s="28" t="s">
        <v>57</v>
      </c>
      <c r="C36" s="45"/>
      <c r="D36" s="32"/>
      <c r="E36" s="32"/>
      <c r="AA36">
        <f t="shared" si="4"/>
        <v>0</v>
      </c>
      <c r="AB36">
        <f t="shared" si="5"/>
        <v>0</v>
      </c>
      <c r="AC36">
        <f t="shared" si="6"/>
        <v>0</v>
      </c>
      <c r="AD36">
        <f t="shared" si="7"/>
        <v>0</v>
      </c>
    </row>
    <row r="37" spans="1:30" ht="22.2" thickTop="1" thickBot="1">
      <c r="A37" s="39"/>
      <c r="B37" s="28" t="s">
        <v>58</v>
      </c>
      <c r="C37" s="45"/>
      <c r="D37" s="32"/>
      <c r="E37" s="32"/>
      <c r="AA37">
        <f t="shared" si="4"/>
        <v>0</v>
      </c>
      <c r="AB37">
        <f t="shared" si="5"/>
        <v>0</v>
      </c>
      <c r="AC37">
        <f t="shared" si="6"/>
        <v>0</v>
      </c>
      <c r="AD37">
        <f t="shared" si="7"/>
        <v>0</v>
      </c>
    </row>
    <row r="38" spans="1:30" ht="22.2" thickTop="1" thickBot="1">
      <c r="A38" s="39"/>
      <c r="B38" s="28" t="s">
        <v>59</v>
      </c>
      <c r="C38" s="45"/>
      <c r="D38" s="32"/>
      <c r="E38" s="32"/>
      <c r="AA38">
        <f t="shared" si="4"/>
        <v>0</v>
      </c>
      <c r="AB38">
        <f t="shared" si="5"/>
        <v>0</v>
      </c>
      <c r="AC38">
        <f t="shared" si="6"/>
        <v>0</v>
      </c>
      <c r="AD38">
        <f t="shared" si="7"/>
        <v>0</v>
      </c>
    </row>
    <row r="39" spans="1:30" ht="22.2" thickTop="1" thickBot="1">
      <c r="A39" s="39"/>
      <c r="B39" s="28" t="s">
        <v>60</v>
      </c>
      <c r="C39" s="45"/>
      <c r="D39" s="32"/>
      <c r="E39" s="32"/>
      <c r="AA39">
        <f t="shared" si="4"/>
        <v>0</v>
      </c>
      <c r="AB39">
        <f t="shared" si="5"/>
        <v>0</v>
      </c>
      <c r="AC39">
        <f t="shared" si="6"/>
        <v>0</v>
      </c>
      <c r="AD39">
        <f t="shared" si="7"/>
        <v>0</v>
      </c>
    </row>
    <row r="40" spans="1:30" ht="22.2" thickTop="1" thickBot="1">
      <c r="A40" s="39"/>
      <c r="B40" s="28" t="s">
        <v>61</v>
      </c>
      <c r="C40" s="45"/>
      <c r="D40" s="32"/>
      <c r="E40" s="32"/>
      <c r="AA40">
        <f t="shared" si="4"/>
        <v>0</v>
      </c>
      <c r="AB40">
        <f t="shared" si="5"/>
        <v>0</v>
      </c>
      <c r="AC40">
        <f t="shared" si="6"/>
        <v>0</v>
      </c>
      <c r="AD40">
        <f t="shared" si="7"/>
        <v>0</v>
      </c>
    </row>
    <row r="41" spans="1:30" ht="22.2" thickTop="1" thickBot="1">
      <c r="A41" s="39"/>
      <c r="B41" s="28" t="s">
        <v>62</v>
      </c>
      <c r="C41" s="45"/>
      <c r="D41" s="32"/>
      <c r="E41" s="32"/>
      <c r="AA41">
        <f t="shared" si="4"/>
        <v>0</v>
      </c>
      <c r="AB41">
        <f t="shared" si="5"/>
        <v>0</v>
      </c>
      <c r="AC41">
        <f t="shared" si="6"/>
        <v>0</v>
      </c>
      <c r="AD41">
        <f t="shared" si="7"/>
        <v>0</v>
      </c>
    </row>
    <row r="42" spans="1:30" ht="22.2" thickTop="1" thickBot="1">
      <c r="A42" s="39"/>
      <c r="B42" s="28" t="s">
        <v>63</v>
      </c>
      <c r="C42" s="45"/>
      <c r="D42" s="32"/>
      <c r="E42" s="32"/>
      <c r="AA42">
        <f t="shared" si="4"/>
        <v>0</v>
      </c>
      <c r="AB42">
        <f t="shared" si="5"/>
        <v>0</v>
      </c>
      <c r="AC42">
        <f t="shared" si="6"/>
        <v>0</v>
      </c>
      <c r="AD42">
        <f t="shared" si="7"/>
        <v>0</v>
      </c>
    </row>
    <row r="43" spans="1:30" ht="55.2" thickTop="1" thickBot="1">
      <c r="A43" s="39"/>
      <c r="B43" s="28" t="s">
        <v>64</v>
      </c>
      <c r="C43" s="45"/>
      <c r="D43" s="32"/>
      <c r="E43" s="32"/>
      <c r="AA43">
        <f t="shared" si="4"/>
        <v>0</v>
      </c>
      <c r="AB43">
        <f t="shared" si="5"/>
        <v>0</v>
      </c>
      <c r="AC43">
        <f t="shared" si="6"/>
        <v>0</v>
      </c>
      <c r="AD43">
        <f t="shared" si="7"/>
        <v>0</v>
      </c>
    </row>
    <row r="44" spans="1:30" ht="22.2" thickTop="1" thickBot="1">
      <c r="A44" s="39"/>
      <c r="B44" s="28" t="s">
        <v>65</v>
      </c>
      <c r="C44" s="45"/>
      <c r="D44" s="32"/>
      <c r="E44" s="32"/>
      <c r="AA44">
        <f t="shared" si="4"/>
        <v>0</v>
      </c>
      <c r="AB44">
        <f t="shared" si="5"/>
        <v>0</v>
      </c>
      <c r="AC44">
        <f t="shared" si="6"/>
        <v>0</v>
      </c>
      <c r="AD44">
        <f t="shared" si="7"/>
        <v>0</v>
      </c>
    </row>
    <row r="45" spans="1:30" ht="22.2" thickTop="1" thickBot="1">
      <c r="A45" s="39"/>
      <c r="B45" s="28" t="s">
        <v>66</v>
      </c>
      <c r="C45" s="45"/>
      <c r="D45" s="32"/>
      <c r="E45" s="32"/>
      <c r="AA45">
        <f t="shared" si="4"/>
        <v>0</v>
      </c>
      <c r="AB45">
        <f t="shared" si="5"/>
        <v>0</v>
      </c>
      <c r="AC45">
        <f t="shared" si="6"/>
        <v>0</v>
      </c>
      <c r="AD45">
        <f t="shared" si="7"/>
        <v>0</v>
      </c>
    </row>
    <row r="46" spans="1:30" ht="22.2" thickTop="1" thickBot="1">
      <c r="A46" s="39"/>
      <c r="B46" s="28" t="s">
        <v>67</v>
      </c>
      <c r="C46" s="45"/>
      <c r="D46" s="32"/>
      <c r="E46" s="32"/>
      <c r="AA46">
        <f t="shared" si="4"/>
        <v>0</v>
      </c>
      <c r="AB46">
        <f t="shared" si="5"/>
        <v>0</v>
      </c>
      <c r="AC46">
        <f t="shared" si="6"/>
        <v>0</v>
      </c>
      <c r="AD46">
        <f t="shared" si="7"/>
        <v>0</v>
      </c>
    </row>
    <row r="47" spans="1:30" ht="22.2" thickTop="1" thickBot="1">
      <c r="A47" s="39"/>
      <c r="B47" s="28" t="s">
        <v>68</v>
      </c>
      <c r="C47" s="45"/>
      <c r="D47" s="32"/>
      <c r="E47" s="32"/>
      <c r="AA47">
        <f t="shared" si="4"/>
        <v>0</v>
      </c>
      <c r="AB47">
        <f t="shared" si="5"/>
        <v>0</v>
      </c>
      <c r="AC47">
        <f t="shared" si="6"/>
        <v>0</v>
      </c>
      <c r="AD47">
        <f t="shared" si="7"/>
        <v>0</v>
      </c>
    </row>
    <row r="48" spans="1:30" ht="37.200000000000003" thickTop="1" thickBot="1">
      <c r="A48" s="39"/>
      <c r="B48" s="28" t="s">
        <v>69</v>
      </c>
      <c r="C48" s="45"/>
      <c r="D48" s="32"/>
      <c r="E48" s="32"/>
      <c r="AA48">
        <f t="shared" si="4"/>
        <v>0</v>
      </c>
      <c r="AB48">
        <f t="shared" si="5"/>
        <v>0</v>
      </c>
      <c r="AC48">
        <f t="shared" si="6"/>
        <v>0</v>
      </c>
      <c r="AD48">
        <f t="shared" si="7"/>
        <v>0</v>
      </c>
    </row>
    <row r="49" spans="1:32" ht="22.2" thickTop="1" thickBot="1">
      <c r="A49" s="39"/>
      <c r="B49" s="28" t="s">
        <v>70</v>
      </c>
      <c r="C49" s="45"/>
      <c r="D49" s="32"/>
      <c r="E49" s="32"/>
      <c r="AA49">
        <f t="shared" si="4"/>
        <v>0</v>
      </c>
      <c r="AB49">
        <f t="shared" si="5"/>
        <v>0</v>
      </c>
      <c r="AC49">
        <f t="shared" si="6"/>
        <v>0</v>
      </c>
      <c r="AD49">
        <f t="shared" si="7"/>
        <v>0</v>
      </c>
    </row>
    <row r="50" spans="1:32" ht="22.2" thickTop="1" thickBot="1">
      <c r="A50" s="39"/>
      <c r="B50" s="28" t="s">
        <v>71</v>
      </c>
      <c r="C50" s="45"/>
      <c r="D50" s="32"/>
      <c r="E50" s="32"/>
      <c r="AA50">
        <f t="shared" si="4"/>
        <v>0</v>
      </c>
      <c r="AB50">
        <f t="shared" si="5"/>
        <v>0</v>
      </c>
      <c r="AC50">
        <f t="shared" si="6"/>
        <v>0</v>
      </c>
      <c r="AD50">
        <f t="shared" si="7"/>
        <v>0</v>
      </c>
    </row>
    <row r="51" spans="1:32" ht="22.2" thickTop="1" thickBot="1">
      <c r="A51" s="39"/>
      <c r="B51" s="28" t="s">
        <v>72</v>
      </c>
      <c r="C51" s="45"/>
      <c r="D51" s="32"/>
      <c r="E51" s="32"/>
      <c r="AA51">
        <f t="shared" si="4"/>
        <v>0</v>
      </c>
      <c r="AB51">
        <f t="shared" si="5"/>
        <v>0</v>
      </c>
      <c r="AC51">
        <f t="shared" si="6"/>
        <v>0</v>
      </c>
      <c r="AD51">
        <f t="shared" si="7"/>
        <v>0</v>
      </c>
    </row>
    <row r="52" spans="1:32" ht="22.2" thickTop="1" thickBot="1">
      <c r="A52" s="39"/>
      <c r="B52" s="28" t="s">
        <v>73</v>
      </c>
      <c r="C52" s="45"/>
      <c r="D52" s="32"/>
      <c r="E52" s="32"/>
      <c r="AA52">
        <f t="shared" si="4"/>
        <v>0</v>
      </c>
      <c r="AB52">
        <f t="shared" si="5"/>
        <v>0</v>
      </c>
      <c r="AC52">
        <f t="shared" si="6"/>
        <v>0</v>
      </c>
      <c r="AD52">
        <f t="shared" si="7"/>
        <v>0</v>
      </c>
    </row>
    <row r="53" spans="1:32" ht="22.2" thickTop="1" thickBot="1">
      <c r="A53" s="46" t="s">
        <v>74</v>
      </c>
      <c r="B53" s="28" t="s">
        <v>75</v>
      </c>
      <c r="C53" s="45"/>
      <c r="D53" s="32"/>
      <c r="E53" s="32"/>
      <c r="AA53">
        <f t="shared" si="4"/>
        <v>0</v>
      </c>
      <c r="AB53">
        <f t="shared" si="5"/>
        <v>0</v>
      </c>
      <c r="AC53">
        <f t="shared" si="6"/>
        <v>0</v>
      </c>
      <c r="AD53">
        <f t="shared" si="7"/>
        <v>0</v>
      </c>
    </row>
    <row r="54" spans="1:32" ht="37.200000000000003" thickTop="1" thickBot="1">
      <c r="A54" s="46" t="s">
        <v>76</v>
      </c>
      <c r="B54" s="28" t="s">
        <v>77</v>
      </c>
      <c r="C54" s="45"/>
      <c r="D54" s="32"/>
      <c r="E54" s="32"/>
      <c r="AA54">
        <f t="shared" si="4"/>
        <v>0</v>
      </c>
      <c r="AB54">
        <f t="shared" si="5"/>
        <v>0</v>
      </c>
      <c r="AC54">
        <f t="shared" si="6"/>
        <v>0</v>
      </c>
      <c r="AD54">
        <f t="shared" si="7"/>
        <v>0</v>
      </c>
    </row>
    <row r="55" spans="1:32" ht="22.2" thickTop="1" thickBot="1">
      <c r="A55" s="46" t="s">
        <v>78</v>
      </c>
      <c r="B55" s="28" t="s">
        <v>79</v>
      </c>
      <c r="C55" s="45"/>
      <c r="D55" s="32"/>
      <c r="E55" s="32"/>
      <c r="AA55">
        <f t="shared" si="4"/>
        <v>0</v>
      </c>
      <c r="AB55">
        <f t="shared" si="5"/>
        <v>0</v>
      </c>
      <c r="AC55">
        <f t="shared" si="6"/>
        <v>0</v>
      </c>
      <c r="AD55">
        <f t="shared" si="7"/>
        <v>0</v>
      </c>
    </row>
    <row r="56" spans="1:32" ht="22.2" thickTop="1" thickBot="1">
      <c r="A56" s="46" t="s">
        <v>80</v>
      </c>
      <c r="B56" s="28" t="s">
        <v>81</v>
      </c>
      <c r="C56" s="45"/>
      <c r="D56" s="32"/>
      <c r="E56" s="32"/>
      <c r="AA56">
        <f t="shared" si="4"/>
        <v>0</v>
      </c>
      <c r="AB56">
        <f t="shared" si="5"/>
        <v>0</v>
      </c>
      <c r="AC56">
        <f t="shared" si="6"/>
        <v>0</v>
      </c>
      <c r="AD56">
        <f t="shared" si="7"/>
        <v>0</v>
      </c>
    </row>
    <row r="57" spans="1:32" ht="22.2" thickTop="1" thickBot="1">
      <c r="A57" s="46" t="s">
        <v>82</v>
      </c>
      <c r="B57" s="28" t="s">
        <v>83</v>
      </c>
      <c r="C57" s="45"/>
      <c r="D57" s="32"/>
      <c r="E57" s="32"/>
      <c r="AA57">
        <f t="shared" si="4"/>
        <v>0</v>
      </c>
      <c r="AB57">
        <f t="shared" si="5"/>
        <v>0</v>
      </c>
      <c r="AC57">
        <f t="shared" si="6"/>
        <v>0</v>
      </c>
      <c r="AD57">
        <f t="shared" si="7"/>
        <v>0</v>
      </c>
    </row>
    <row r="58" spans="1:32" ht="22.2" thickTop="1" thickBot="1">
      <c r="A58" s="46" t="s">
        <v>84</v>
      </c>
      <c r="B58" s="28" t="s">
        <v>85</v>
      </c>
      <c r="C58" s="45"/>
      <c r="D58" s="32"/>
      <c r="E58" s="32"/>
      <c r="AA58">
        <f t="shared" si="4"/>
        <v>0</v>
      </c>
      <c r="AB58">
        <f t="shared" si="5"/>
        <v>0</v>
      </c>
      <c r="AC58">
        <f t="shared" si="6"/>
        <v>0</v>
      </c>
      <c r="AD58">
        <f t="shared" si="7"/>
        <v>0</v>
      </c>
    </row>
    <row r="59" spans="1:32" ht="22.2" thickTop="1" thickBot="1">
      <c r="A59" s="46" t="s">
        <v>86</v>
      </c>
      <c r="B59" s="28" t="s">
        <v>87</v>
      </c>
      <c r="C59" s="45"/>
      <c r="D59" s="32"/>
      <c r="E59" s="32"/>
      <c r="AA59">
        <f t="shared" si="4"/>
        <v>0</v>
      </c>
      <c r="AB59">
        <f t="shared" si="5"/>
        <v>0</v>
      </c>
      <c r="AC59">
        <f t="shared" si="6"/>
        <v>0</v>
      </c>
      <c r="AD59">
        <f t="shared" si="7"/>
        <v>0</v>
      </c>
    </row>
    <row r="60" spans="1:32" ht="74.25" customHeight="1" thickTop="1" thickBot="1">
      <c r="A60" s="37" t="s">
        <v>88</v>
      </c>
      <c r="B60" s="47" t="s">
        <v>89</v>
      </c>
      <c r="C60" s="24" t="s">
        <v>90</v>
      </c>
      <c r="D60" s="25"/>
      <c r="E60" s="36" t="str">
        <f>"Quotation: "&amp;ROUND((AE60/AF60)*100,2)&amp;"%"</f>
        <v>Quotation: 0%</v>
      </c>
      <c r="AE60">
        <f>SUM(AA61:AA78)+SUM(AB61:AB78)*0.5</f>
        <v>0</v>
      </c>
      <c r="AF60">
        <f>COUNT(AA61:AA78)-SUM(AD61:AD78)</f>
        <v>17</v>
      </c>
    </row>
    <row r="61" spans="1:32" ht="66.75" customHeight="1" thickTop="1" thickBot="1">
      <c r="A61" s="46" t="s">
        <v>91</v>
      </c>
      <c r="B61" s="28" t="s">
        <v>92</v>
      </c>
      <c r="C61" s="45"/>
      <c r="D61" s="32"/>
      <c r="E61" s="32"/>
      <c r="AA61">
        <f>IF(C61="Met",1,0)</f>
        <v>0</v>
      </c>
      <c r="AB61">
        <f>IF(C61="Partially Met",1,0)</f>
        <v>0</v>
      </c>
      <c r="AC61">
        <f>IF(C61="UnMet",1,0)</f>
        <v>0</v>
      </c>
      <c r="AD61">
        <f>IF(C61="Not Applicable",1,0)</f>
        <v>0</v>
      </c>
    </row>
    <row r="62" spans="1:32" ht="22.2" thickTop="1" thickBot="1">
      <c r="A62" s="46" t="s">
        <v>93</v>
      </c>
      <c r="B62" s="28" t="s">
        <v>94</v>
      </c>
      <c r="C62" s="45"/>
      <c r="D62" s="32"/>
      <c r="E62" s="32"/>
      <c r="AA62">
        <f>IF(C62="Met",1,0)</f>
        <v>0</v>
      </c>
      <c r="AB62">
        <f>IF(C62="Partially Met",1,0)</f>
        <v>0</v>
      </c>
      <c r="AC62">
        <f>IF(C62="UnMet",1,0)</f>
        <v>0</v>
      </c>
      <c r="AD62">
        <f>IF(C62="Not Applicable",1,0)</f>
        <v>0</v>
      </c>
    </row>
    <row r="63" spans="1:32" ht="37.200000000000003" thickTop="1" thickBot="1">
      <c r="A63" s="39" t="s">
        <v>95</v>
      </c>
      <c r="B63" s="40" t="s">
        <v>96</v>
      </c>
      <c r="C63" s="41"/>
      <c r="D63" s="42"/>
      <c r="E63" s="43"/>
    </row>
    <row r="64" spans="1:32" ht="22.2" thickTop="1" thickBot="1">
      <c r="A64" s="39"/>
      <c r="B64" s="48" t="s">
        <v>97</v>
      </c>
      <c r="C64" s="45"/>
      <c r="D64" s="32"/>
      <c r="E64" s="32"/>
      <c r="AA64">
        <f t="shared" ref="AA64:AA78" si="8">IF(C64="Met",1,0)</f>
        <v>0</v>
      </c>
      <c r="AB64">
        <f t="shared" ref="AB64:AB78" si="9">IF(C64="Partially Met",1,0)</f>
        <v>0</v>
      </c>
      <c r="AC64">
        <f t="shared" ref="AC64:AC78" si="10">IF(C64="UnMet",1,0)</f>
        <v>0</v>
      </c>
      <c r="AD64">
        <f t="shared" ref="AD64:AD78" si="11">IF(C64="Not Applicable",1,0)</f>
        <v>0</v>
      </c>
    </row>
    <row r="65" spans="1:32" ht="22.2" thickTop="1" thickBot="1">
      <c r="A65" s="39"/>
      <c r="B65" s="48" t="s">
        <v>98</v>
      </c>
      <c r="C65" s="45"/>
      <c r="D65" s="32"/>
      <c r="E65" s="32"/>
      <c r="AA65">
        <f t="shared" si="8"/>
        <v>0</v>
      </c>
      <c r="AB65">
        <f t="shared" si="9"/>
        <v>0</v>
      </c>
      <c r="AC65">
        <f t="shared" si="10"/>
        <v>0</v>
      </c>
      <c r="AD65">
        <f t="shared" si="11"/>
        <v>0</v>
      </c>
    </row>
    <row r="66" spans="1:32" ht="22.2" thickTop="1" thickBot="1">
      <c r="A66" s="39"/>
      <c r="B66" s="48" t="s">
        <v>99</v>
      </c>
      <c r="C66" s="45"/>
      <c r="D66" s="32"/>
      <c r="E66" s="32"/>
      <c r="AA66">
        <f t="shared" si="8"/>
        <v>0</v>
      </c>
      <c r="AB66">
        <f t="shared" si="9"/>
        <v>0</v>
      </c>
      <c r="AC66">
        <f t="shared" si="10"/>
        <v>0</v>
      </c>
      <c r="AD66">
        <f t="shared" si="11"/>
        <v>0</v>
      </c>
    </row>
    <row r="67" spans="1:32" ht="22.2" thickTop="1" thickBot="1">
      <c r="A67" s="39"/>
      <c r="B67" s="48" t="s">
        <v>100</v>
      </c>
      <c r="C67" s="45"/>
      <c r="D67" s="32"/>
      <c r="E67" s="32"/>
      <c r="AA67">
        <f t="shared" si="8"/>
        <v>0</v>
      </c>
      <c r="AB67">
        <f t="shared" si="9"/>
        <v>0</v>
      </c>
      <c r="AC67">
        <f t="shared" si="10"/>
        <v>0</v>
      </c>
      <c r="AD67">
        <f t="shared" si="11"/>
        <v>0</v>
      </c>
    </row>
    <row r="68" spans="1:32" ht="22.2" thickTop="1" thickBot="1">
      <c r="A68" s="39"/>
      <c r="B68" s="48" t="s">
        <v>101</v>
      </c>
      <c r="C68" s="45"/>
      <c r="D68" s="32"/>
      <c r="E68" s="32"/>
      <c r="AA68">
        <f t="shared" si="8"/>
        <v>0</v>
      </c>
      <c r="AB68">
        <f t="shared" si="9"/>
        <v>0</v>
      </c>
      <c r="AC68">
        <f t="shared" si="10"/>
        <v>0</v>
      </c>
      <c r="AD68">
        <f t="shared" si="11"/>
        <v>0</v>
      </c>
    </row>
    <row r="69" spans="1:32" ht="22.2" thickTop="1" thickBot="1">
      <c r="A69" s="39"/>
      <c r="B69" s="48" t="s">
        <v>102</v>
      </c>
      <c r="C69" s="45"/>
      <c r="D69" s="32"/>
      <c r="E69" s="32"/>
      <c r="AA69">
        <f t="shared" si="8"/>
        <v>0</v>
      </c>
      <c r="AB69">
        <f t="shared" si="9"/>
        <v>0</v>
      </c>
      <c r="AC69">
        <f t="shared" si="10"/>
        <v>0</v>
      </c>
      <c r="AD69">
        <f t="shared" si="11"/>
        <v>0</v>
      </c>
    </row>
    <row r="70" spans="1:32" ht="22.2" thickTop="1" thickBot="1">
      <c r="A70" s="39"/>
      <c r="B70" s="48" t="s">
        <v>103</v>
      </c>
      <c r="C70" s="45"/>
      <c r="D70" s="32"/>
      <c r="E70" s="32"/>
      <c r="AA70">
        <f t="shared" si="8"/>
        <v>0</v>
      </c>
      <c r="AB70">
        <f t="shared" si="9"/>
        <v>0</v>
      </c>
      <c r="AC70">
        <f t="shared" si="10"/>
        <v>0</v>
      </c>
      <c r="AD70">
        <f t="shared" si="11"/>
        <v>0</v>
      </c>
    </row>
    <row r="71" spans="1:32" ht="22.2" thickTop="1" thickBot="1">
      <c r="A71" s="39"/>
      <c r="B71" s="48" t="s">
        <v>104</v>
      </c>
      <c r="C71" s="45"/>
      <c r="D71" s="32"/>
      <c r="E71" s="32"/>
      <c r="AA71">
        <f t="shared" si="8"/>
        <v>0</v>
      </c>
      <c r="AB71">
        <f t="shared" si="9"/>
        <v>0</v>
      </c>
      <c r="AC71">
        <f t="shared" si="10"/>
        <v>0</v>
      </c>
      <c r="AD71">
        <f t="shared" si="11"/>
        <v>0</v>
      </c>
    </row>
    <row r="72" spans="1:32" ht="37.200000000000003" thickTop="1" thickBot="1">
      <c r="A72" s="46" t="s">
        <v>105</v>
      </c>
      <c r="B72" s="28" t="s">
        <v>106</v>
      </c>
      <c r="C72" s="45"/>
      <c r="D72" s="32"/>
      <c r="E72" s="32"/>
      <c r="AA72">
        <f t="shared" si="8"/>
        <v>0</v>
      </c>
      <c r="AB72">
        <f t="shared" si="9"/>
        <v>0</v>
      </c>
      <c r="AC72">
        <f t="shared" si="10"/>
        <v>0</v>
      </c>
      <c r="AD72">
        <f t="shared" si="11"/>
        <v>0</v>
      </c>
    </row>
    <row r="73" spans="1:32" ht="37.200000000000003" thickTop="1" thickBot="1">
      <c r="A73" s="46" t="s">
        <v>107</v>
      </c>
      <c r="B73" s="28" t="s">
        <v>108</v>
      </c>
      <c r="C73" s="45"/>
      <c r="D73" s="32"/>
      <c r="E73" s="32"/>
      <c r="AA73">
        <f t="shared" si="8"/>
        <v>0</v>
      </c>
      <c r="AB73">
        <f t="shared" si="9"/>
        <v>0</v>
      </c>
      <c r="AC73">
        <f t="shared" si="10"/>
        <v>0</v>
      </c>
      <c r="AD73">
        <f t="shared" si="11"/>
        <v>0</v>
      </c>
    </row>
    <row r="74" spans="1:32" ht="37.200000000000003" thickTop="1" thickBot="1">
      <c r="A74" s="46" t="s">
        <v>109</v>
      </c>
      <c r="B74" s="28" t="s">
        <v>110</v>
      </c>
      <c r="C74" s="45"/>
      <c r="D74" s="32"/>
      <c r="E74" s="32"/>
      <c r="AA74">
        <f t="shared" si="8"/>
        <v>0</v>
      </c>
      <c r="AB74">
        <f t="shared" si="9"/>
        <v>0</v>
      </c>
      <c r="AC74">
        <f t="shared" si="10"/>
        <v>0</v>
      </c>
      <c r="AD74">
        <f t="shared" si="11"/>
        <v>0</v>
      </c>
    </row>
    <row r="75" spans="1:32" ht="22.2" thickTop="1" thickBot="1">
      <c r="A75" s="46" t="s">
        <v>111</v>
      </c>
      <c r="B75" s="28" t="s">
        <v>112</v>
      </c>
      <c r="C75" s="45"/>
      <c r="D75" s="32"/>
      <c r="E75" s="32"/>
      <c r="AA75">
        <f t="shared" si="8"/>
        <v>0</v>
      </c>
      <c r="AB75">
        <f t="shared" si="9"/>
        <v>0</v>
      </c>
      <c r="AC75">
        <f t="shared" si="10"/>
        <v>0</v>
      </c>
      <c r="AD75">
        <f t="shared" si="11"/>
        <v>0</v>
      </c>
    </row>
    <row r="76" spans="1:32" ht="37.200000000000003" thickTop="1" thickBot="1">
      <c r="A76" s="46" t="s">
        <v>113</v>
      </c>
      <c r="B76" s="28" t="s">
        <v>114</v>
      </c>
      <c r="C76" s="45"/>
      <c r="D76" s="32"/>
      <c r="E76" s="32"/>
      <c r="AA76">
        <f t="shared" si="8"/>
        <v>0</v>
      </c>
      <c r="AB76">
        <f t="shared" si="9"/>
        <v>0</v>
      </c>
      <c r="AC76">
        <f t="shared" si="10"/>
        <v>0</v>
      </c>
      <c r="AD76">
        <f t="shared" si="11"/>
        <v>0</v>
      </c>
    </row>
    <row r="77" spans="1:32" ht="37.200000000000003" thickTop="1" thickBot="1">
      <c r="A77" s="46" t="s">
        <v>115</v>
      </c>
      <c r="B77" s="28" t="s">
        <v>116</v>
      </c>
      <c r="C77" s="45"/>
      <c r="D77" s="32"/>
      <c r="E77" s="32"/>
      <c r="AA77">
        <f t="shared" si="8"/>
        <v>0</v>
      </c>
      <c r="AB77">
        <f t="shared" si="9"/>
        <v>0</v>
      </c>
      <c r="AC77">
        <f t="shared" si="10"/>
        <v>0</v>
      </c>
      <c r="AD77">
        <f t="shared" si="11"/>
        <v>0</v>
      </c>
    </row>
    <row r="78" spans="1:32" ht="37.200000000000003" thickTop="1" thickBot="1">
      <c r="A78" s="46" t="s">
        <v>117</v>
      </c>
      <c r="B78" s="28" t="s">
        <v>118</v>
      </c>
      <c r="C78" s="45"/>
      <c r="D78" s="32"/>
      <c r="E78" s="32"/>
      <c r="AA78">
        <f t="shared" si="8"/>
        <v>0</v>
      </c>
      <c r="AB78">
        <f t="shared" si="9"/>
        <v>0</v>
      </c>
      <c r="AC78">
        <f t="shared" si="10"/>
        <v>0</v>
      </c>
      <c r="AD78">
        <f t="shared" si="11"/>
        <v>0</v>
      </c>
    </row>
    <row r="79" spans="1:32" ht="36" thickTop="1" thickBot="1">
      <c r="A79" s="47" t="s">
        <v>119</v>
      </c>
      <c r="B79" s="49" t="s">
        <v>120</v>
      </c>
      <c r="C79" s="24" t="s">
        <v>121</v>
      </c>
      <c r="D79" s="25"/>
      <c r="E79" s="36" t="str">
        <f>"Quotation: "&amp;ROUND((AE79/AF79)*100,2)&amp;"%"</f>
        <v>Quotation: 0%</v>
      </c>
      <c r="AE79">
        <f>SUM(AA80:AA96)+SUM(AB80:AB96)*0.5</f>
        <v>0</v>
      </c>
      <c r="AF79">
        <f>COUNT(AA80:AA96)-SUM(AD80:AD96)</f>
        <v>16</v>
      </c>
    </row>
    <row r="80" spans="1:32" ht="37.200000000000003" thickTop="1" thickBot="1">
      <c r="A80" s="50" t="s">
        <v>122</v>
      </c>
      <c r="B80" s="28" t="s">
        <v>123</v>
      </c>
      <c r="C80" s="45"/>
      <c r="D80" s="32"/>
      <c r="E80" s="32"/>
      <c r="AA80">
        <f>IF(C80="Met",1,0)</f>
        <v>0</v>
      </c>
      <c r="AB80">
        <f>IF(C80="Partially Met",1,0)</f>
        <v>0</v>
      </c>
      <c r="AC80">
        <f>IF(C80="UnMet",1,0)</f>
        <v>0</v>
      </c>
      <c r="AD80">
        <f>IF(C80="Not Applicable",1,0)</f>
        <v>0</v>
      </c>
    </row>
    <row r="81" spans="1:30" ht="37.200000000000003" thickTop="1" thickBot="1">
      <c r="A81" s="50" t="s">
        <v>124</v>
      </c>
      <c r="B81" s="28" t="s">
        <v>125</v>
      </c>
      <c r="C81" s="45"/>
      <c r="D81" s="32"/>
      <c r="E81" s="32"/>
      <c r="AA81">
        <f>IF(C81="Met",1,0)</f>
        <v>0</v>
      </c>
      <c r="AB81">
        <f>IF(C81="Partially Met",1,0)</f>
        <v>0</v>
      </c>
      <c r="AC81">
        <f>IF(C81="UnMet",1,0)</f>
        <v>0</v>
      </c>
      <c r="AD81">
        <f>IF(C81="Not Applicable",1,0)</f>
        <v>0</v>
      </c>
    </row>
    <row r="82" spans="1:30" ht="55.2" thickTop="1" thickBot="1">
      <c r="A82" s="50" t="s">
        <v>126</v>
      </c>
      <c r="B82" s="28" t="s">
        <v>127</v>
      </c>
      <c r="C82" s="45"/>
      <c r="D82" s="32"/>
      <c r="E82" s="32"/>
      <c r="AA82">
        <f>IF(C82="Met",1,0)</f>
        <v>0</v>
      </c>
      <c r="AB82">
        <f>IF(C82="Partially Met",1,0)</f>
        <v>0</v>
      </c>
      <c r="AC82">
        <f>IF(C82="UnMet",1,0)</f>
        <v>0</v>
      </c>
      <c r="AD82">
        <f>IF(C82="Not Applicable",1,0)</f>
        <v>0</v>
      </c>
    </row>
    <row r="83" spans="1:30" ht="37.200000000000003" thickTop="1" thickBot="1">
      <c r="A83" s="50" t="s">
        <v>128</v>
      </c>
      <c r="B83" s="28" t="s">
        <v>129</v>
      </c>
      <c r="C83" s="45"/>
      <c r="D83" s="32"/>
      <c r="E83" s="32"/>
      <c r="AA83">
        <f>IF(C83="Met",1,0)</f>
        <v>0</v>
      </c>
      <c r="AB83">
        <f>IF(C83="Partially Met",1,0)</f>
        <v>0</v>
      </c>
      <c r="AC83">
        <f>IF(C83="UnMet",1,0)</f>
        <v>0</v>
      </c>
      <c r="AD83">
        <f>IF(C83="Not Applicable",1,0)</f>
        <v>0</v>
      </c>
    </row>
    <row r="84" spans="1:30" ht="22.2" thickTop="1" thickBot="1">
      <c r="A84" s="39" t="s">
        <v>130</v>
      </c>
      <c r="B84" s="40" t="s">
        <v>131</v>
      </c>
      <c r="C84" s="41"/>
      <c r="D84" s="42"/>
      <c r="E84" s="43"/>
    </row>
    <row r="85" spans="1:30" ht="22.2" thickTop="1" thickBot="1">
      <c r="A85" s="39"/>
      <c r="B85" s="51" t="s">
        <v>132</v>
      </c>
      <c r="C85" s="45"/>
      <c r="D85" s="32"/>
      <c r="E85" s="32"/>
      <c r="AA85">
        <f t="shared" ref="AA85:AA96" si="12">IF(C85="Met",1,0)</f>
        <v>0</v>
      </c>
      <c r="AB85">
        <f t="shared" ref="AB85:AB96" si="13">IF(C85="Partially Met",1,0)</f>
        <v>0</v>
      </c>
      <c r="AC85">
        <f t="shared" ref="AC85:AC96" si="14">IF(C85="UnMet",1,0)</f>
        <v>0</v>
      </c>
      <c r="AD85">
        <f t="shared" ref="AD85:AD96" si="15">IF(C85="Not Applicable",1,0)</f>
        <v>0</v>
      </c>
    </row>
    <row r="86" spans="1:30" ht="22.2" thickTop="1" thickBot="1">
      <c r="A86" s="39"/>
      <c r="B86" s="51" t="s">
        <v>133</v>
      </c>
      <c r="C86" s="45"/>
      <c r="D86" s="32"/>
      <c r="E86" s="32"/>
      <c r="AA86">
        <f t="shared" si="12"/>
        <v>0</v>
      </c>
      <c r="AB86">
        <f t="shared" si="13"/>
        <v>0</v>
      </c>
      <c r="AC86">
        <f t="shared" si="14"/>
        <v>0</v>
      </c>
      <c r="AD86">
        <f t="shared" si="15"/>
        <v>0</v>
      </c>
    </row>
    <row r="87" spans="1:30" ht="22.2" thickTop="1" thickBot="1">
      <c r="A87" s="39"/>
      <c r="B87" s="51" t="s">
        <v>134</v>
      </c>
      <c r="C87" s="45"/>
      <c r="D87" s="32"/>
      <c r="E87" s="32"/>
      <c r="AA87">
        <f t="shared" si="12"/>
        <v>0</v>
      </c>
      <c r="AB87">
        <f t="shared" si="13"/>
        <v>0</v>
      </c>
      <c r="AC87">
        <f t="shared" si="14"/>
        <v>0</v>
      </c>
      <c r="AD87">
        <f t="shared" si="15"/>
        <v>0</v>
      </c>
    </row>
    <row r="88" spans="1:30" ht="22.2" thickTop="1" thickBot="1">
      <c r="A88" s="39"/>
      <c r="B88" s="51" t="s">
        <v>135</v>
      </c>
      <c r="C88" s="45"/>
      <c r="D88" s="32"/>
      <c r="E88" s="32"/>
      <c r="AA88">
        <f t="shared" si="12"/>
        <v>0</v>
      </c>
      <c r="AB88">
        <f t="shared" si="13"/>
        <v>0</v>
      </c>
      <c r="AC88">
        <f t="shared" si="14"/>
        <v>0</v>
      </c>
      <c r="AD88">
        <f t="shared" si="15"/>
        <v>0</v>
      </c>
    </row>
    <row r="89" spans="1:30" ht="22.2" thickTop="1" thickBot="1">
      <c r="A89" s="39"/>
      <c r="B89" s="51" t="s">
        <v>136</v>
      </c>
      <c r="C89" s="45"/>
      <c r="D89" s="32"/>
      <c r="E89" s="32"/>
      <c r="AA89">
        <f t="shared" si="12"/>
        <v>0</v>
      </c>
      <c r="AB89">
        <f t="shared" si="13"/>
        <v>0</v>
      </c>
      <c r="AC89">
        <f t="shared" si="14"/>
        <v>0</v>
      </c>
      <c r="AD89">
        <f t="shared" si="15"/>
        <v>0</v>
      </c>
    </row>
    <row r="90" spans="1:30" ht="22.2" thickTop="1" thickBot="1">
      <c r="A90" s="39"/>
      <c r="B90" s="51" t="s">
        <v>137</v>
      </c>
      <c r="C90" s="45"/>
      <c r="D90" s="32"/>
      <c r="E90" s="32"/>
      <c r="AA90">
        <f t="shared" si="12"/>
        <v>0</v>
      </c>
      <c r="AB90">
        <f t="shared" si="13"/>
        <v>0</v>
      </c>
      <c r="AC90">
        <f t="shared" si="14"/>
        <v>0</v>
      </c>
      <c r="AD90">
        <f t="shared" si="15"/>
        <v>0</v>
      </c>
    </row>
    <row r="91" spans="1:30" ht="22.2" thickTop="1" thickBot="1">
      <c r="A91" s="39"/>
      <c r="B91" s="51" t="s">
        <v>138</v>
      </c>
      <c r="C91" s="45"/>
      <c r="D91" s="32"/>
      <c r="E91" s="32"/>
      <c r="AA91">
        <f t="shared" si="12"/>
        <v>0</v>
      </c>
      <c r="AB91">
        <f t="shared" si="13"/>
        <v>0</v>
      </c>
      <c r="AC91">
        <f t="shared" si="14"/>
        <v>0</v>
      </c>
      <c r="AD91">
        <f t="shared" si="15"/>
        <v>0</v>
      </c>
    </row>
    <row r="92" spans="1:30" ht="22.2" thickTop="1" thickBot="1">
      <c r="A92" s="39"/>
      <c r="B92" s="51" t="s">
        <v>139</v>
      </c>
      <c r="C92" s="45"/>
      <c r="D92" s="32"/>
      <c r="E92" s="32"/>
      <c r="AA92">
        <f t="shared" si="12"/>
        <v>0</v>
      </c>
      <c r="AB92">
        <f t="shared" si="13"/>
        <v>0</v>
      </c>
      <c r="AC92">
        <f t="shared" si="14"/>
        <v>0</v>
      </c>
      <c r="AD92">
        <f t="shared" si="15"/>
        <v>0</v>
      </c>
    </row>
    <row r="93" spans="1:30" ht="22.2" thickTop="1" thickBot="1">
      <c r="A93" s="39"/>
      <c r="B93" s="51" t="s">
        <v>140</v>
      </c>
      <c r="C93" s="45"/>
      <c r="D93" s="32"/>
      <c r="E93" s="32"/>
      <c r="AA93">
        <f t="shared" si="12"/>
        <v>0</v>
      </c>
      <c r="AB93">
        <f t="shared" si="13"/>
        <v>0</v>
      </c>
      <c r="AC93">
        <f t="shared" si="14"/>
        <v>0</v>
      </c>
      <c r="AD93">
        <f t="shared" si="15"/>
        <v>0</v>
      </c>
    </row>
    <row r="94" spans="1:30" ht="22.2" thickTop="1" thickBot="1">
      <c r="A94" s="39"/>
      <c r="B94" s="51" t="s">
        <v>141</v>
      </c>
      <c r="C94" s="45"/>
      <c r="D94" s="32"/>
      <c r="E94" s="32"/>
      <c r="AA94">
        <f t="shared" si="12"/>
        <v>0</v>
      </c>
      <c r="AB94">
        <f t="shared" si="13"/>
        <v>0</v>
      </c>
      <c r="AC94">
        <f t="shared" si="14"/>
        <v>0</v>
      </c>
      <c r="AD94">
        <f t="shared" si="15"/>
        <v>0</v>
      </c>
    </row>
    <row r="95" spans="1:30" ht="37.200000000000003" thickTop="1" thickBot="1">
      <c r="A95" s="46" t="s">
        <v>142</v>
      </c>
      <c r="B95" s="52" t="s">
        <v>143</v>
      </c>
      <c r="C95" s="45"/>
      <c r="D95" s="32"/>
      <c r="E95" s="32"/>
      <c r="AA95">
        <f t="shared" si="12"/>
        <v>0</v>
      </c>
      <c r="AB95">
        <f t="shared" si="13"/>
        <v>0</v>
      </c>
      <c r="AC95">
        <f t="shared" si="14"/>
        <v>0</v>
      </c>
      <c r="AD95">
        <f t="shared" si="15"/>
        <v>0</v>
      </c>
    </row>
    <row r="96" spans="1:30" ht="22.2" thickTop="1" thickBot="1">
      <c r="A96" s="46" t="s">
        <v>144</v>
      </c>
      <c r="B96" s="52" t="s">
        <v>145</v>
      </c>
      <c r="C96" s="45"/>
      <c r="D96" s="32"/>
      <c r="E96" s="32"/>
      <c r="AA96">
        <f t="shared" si="12"/>
        <v>0</v>
      </c>
      <c r="AB96">
        <f t="shared" si="13"/>
        <v>0</v>
      </c>
      <c r="AC96">
        <f t="shared" si="14"/>
        <v>0</v>
      </c>
      <c r="AD96">
        <f t="shared" si="15"/>
        <v>0</v>
      </c>
    </row>
    <row r="97" spans="1:32" ht="36" thickTop="1" thickBot="1">
      <c r="A97" s="47" t="s">
        <v>146</v>
      </c>
      <c r="B97" s="49" t="s">
        <v>147</v>
      </c>
      <c r="C97" s="24" t="s">
        <v>148</v>
      </c>
      <c r="D97" s="25"/>
      <c r="E97" s="36" t="str">
        <f>"Quotation: "&amp;ROUND((AE97/AF97)*100,2)&amp;"%"</f>
        <v>Quotation: 0%</v>
      </c>
      <c r="AE97">
        <f>SUM(AA98:AA104)+SUM(AB98:AB104)*0.5</f>
        <v>0</v>
      </c>
      <c r="AF97">
        <f>COUNT(AA98:AA104)-SUM(AD98:AD104)</f>
        <v>7</v>
      </c>
    </row>
    <row r="98" spans="1:32" ht="37.200000000000003" thickTop="1" thickBot="1">
      <c r="A98" s="46" t="s">
        <v>149</v>
      </c>
      <c r="B98" s="52" t="s">
        <v>150</v>
      </c>
      <c r="C98" s="45"/>
      <c r="D98" s="32"/>
      <c r="E98" s="32"/>
      <c r="AA98">
        <f t="shared" ref="AA98:AA104" si="16">IF(C98="Met",1,0)</f>
        <v>0</v>
      </c>
      <c r="AB98">
        <f t="shared" ref="AB98:AB104" si="17">IF(C98="Partially Met",1,0)</f>
        <v>0</v>
      </c>
      <c r="AC98">
        <f t="shared" ref="AC98:AC104" si="18">IF(C98="UnMet",1,0)</f>
        <v>0</v>
      </c>
      <c r="AD98">
        <f t="shared" ref="AD98:AD104" si="19">IF(C98="Not Applicable",1,0)</f>
        <v>0</v>
      </c>
    </row>
    <row r="99" spans="1:32" ht="73.2" thickTop="1" thickBot="1">
      <c r="A99" s="46" t="s">
        <v>151</v>
      </c>
      <c r="B99" s="52" t="s">
        <v>152</v>
      </c>
      <c r="C99" s="45"/>
      <c r="D99" s="32"/>
      <c r="E99" s="32"/>
      <c r="AA99">
        <f t="shared" si="16"/>
        <v>0</v>
      </c>
      <c r="AB99">
        <f t="shared" si="17"/>
        <v>0</v>
      </c>
      <c r="AC99">
        <f t="shared" si="18"/>
        <v>0</v>
      </c>
      <c r="AD99">
        <f t="shared" si="19"/>
        <v>0</v>
      </c>
    </row>
    <row r="100" spans="1:32" ht="55.2" thickTop="1" thickBot="1">
      <c r="A100" s="46" t="s">
        <v>153</v>
      </c>
      <c r="B100" s="52" t="s">
        <v>154</v>
      </c>
      <c r="C100" s="45"/>
      <c r="D100" s="32"/>
      <c r="E100" s="32"/>
      <c r="AA100">
        <f t="shared" si="16"/>
        <v>0</v>
      </c>
      <c r="AB100">
        <f t="shared" si="17"/>
        <v>0</v>
      </c>
      <c r="AC100">
        <f t="shared" si="18"/>
        <v>0</v>
      </c>
      <c r="AD100">
        <f t="shared" si="19"/>
        <v>0</v>
      </c>
    </row>
    <row r="101" spans="1:32" ht="37.200000000000003" thickTop="1" thickBot="1">
      <c r="A101" s="46" t="s">
        <v>155</v>
      </c>
      <c r="B101" s="52" t="s">
        <v>156</v>
      </c>
      <c r="C101" s="45"/>
      <c r="D101" s="32"/>
      <c r="E101" s="32"/>
      <c r="AA101">
        <f t="shared" si="16"/>
        <v>0</v>
      </c>
      <c r="AB101">
        <f t="shared" si="17"/>
        <v>0</v>
      </c>
      <c r="AC101">
        <f t="shared" si="18"/>
        <v>0</v>
      </c>
      <c r="AD101">
        <f t="shared" si="19"/>
        <v>0</v>
      </c>
    </row>
    <row r="102" spans="1:32" ht="22.2" thickTop="1" thickBot="1">
      <c r="A102" s="46" t="s">
        <v>157</v>
      </c>
      <c r="B102" s="52" t="s">
        <v>158</v>
      </c>
      <c r="C102" s="45"/>
      <c r="D102" s="32"/>
      <c r="E102" s="32"/>
      <c r="AA102">
        <f t="shared" si="16"/>
        <v>0</v>
      </c>
      <c r="AB102">
        <f t="shared" si="17"/>
        <v>0</v>
      </c>
      <c r="AC102">
        <f t="shared" si="18"/>
        <v>0</v>
      </c>
      <c r="AD102">
        <f t="shared" si="19"/>
        <v>0</v>
      </c>
    </row>
    <row r="103" spans="1:32" ht="37.200000000000003" thickTop="1" thickBot="1">
      <c r="A103" s="46" t="s">
        <v>159</v>
      </c>
      <c r="B103" s="52" t="s">
        <v>160</v>
      </c>
      <c r="C103" s="45"/>
      <c r="D103" s="32"/>
      <c r="E103" s="32"/>
      <c r="AA103">
        <f t="shared" si="16"/>
        <v>0</v>
      </c>
      <c r="AB103">
        <f t="shared" si="17"/>
        <v>0</v>
      </c>
      <c r="AC103">
        <f t="shared" si="18"/>
        <v>0</v>
      </c>
      <c r="AD103">
        <f t="shared" si="19"/>
        <v>0</v>
      </c>
    </row>
    <row r="104" spans="1:32" ht="22.2" thickTop="1" thickBot="1">
      <c r="A104" s="46" t="s">
        <v>161</v>
      </c>
      <c r="B104" s="52" t="s">
        <v>162</v>
      </c>
      <c r="C104" s="45"/>
      <c r="D104" s="32"/>
      <c r="E104" s="32"/>
      <c r="AA104">
        <f t="shared" si="16"/>
        <v>0</v>
      </c>
      <c r="AB104">
        <f t="shared" si="17"/>
        <v>0</v>
      </c>
      <c r="AC104">
        <f t="shared" si="18"/>
        <v>0</v>
      </c>
      <c r="AD104">
        <f t="shared" si="19"/>
        <v>0</v>
      </c>
    </row>
    <row r="105" spans="1:32" ht="36" thickTop="1" thickBot="1">
      <c r="A105" s="37" t="s">
        <v>163</v>
      </c>
      <c r="B105" s="49" t="s">
        <v>164</v>
      </c>
      <c r="C105" s="24" t="s">
        <v>165</v>
      </c>
      <c r="D105" s="25"/>
      <c r="E105" s="36" t="str">
        <f>"Quotation: "&amp;ROUND((AE105/AF105)*100,2)&amp;"%"</f>
        <v>Quotation: 0%</v>
      </c>
      <c r="AE105">
        <f>SUM(AA106:AA114)+SUM(AB106:AB114)*0.5</f>
        <v>0</v>
      </c>
      <c r="AF105">
        <f>COUNT(AA106:AA114)-SUM(AD106:AD114)</f>
        <v>9</v>
      </c>
    </row>
    <row r="106" spans="1:32" ht="37.200000000000003" thickTop="1" thickBot="1">
      <c r="A106" s="46" t="s">
        <v>166</v>
      </c>
      <c r="B106" s="52" t="s">
        <v>167</v>
      </c>
      <c r="C106" s="45"/>
      <c r="D106" s="32"/>
      <c r="E106" s="32"/>
      <c r="AA106">
        <f t="shared" ref="AA106:AA114" si="20">IF(C106="Met",1,0)</f>
        <v>0</v>
      </c>
      <c r="AB106">
        <f t="shared" ref="AB106:AB114" si="21">IF(C106="Partially Met",1,0)</f>
        <v>0</v>
      </c>
      <c r="AC106">
        <f t="shared" ref="AC106:AC114" si="22">IF(C106="UnMet",1,0)</f>
        <v>0</v>
      </c>
      <c r="AD106">
        <f t="shared" ref="AD106:AD114" si="23">IF(C106="Not Applicable",1,0)</f>
        <v>0</v>
      </c>
    </row>
    <row r="107" spans="1:32" ht="22.2" thickTop="1" thickBot="1">
      <c r="A107" s="46" t="s">
        <v>168</v>
      </c>
      <c r="B107" s="52" t="s">
        <v>169</v>
      </c>
      <c r="C107" s="45"/>
      <c r="D107" s="32"/>
      <c r="E107" s="32"/>
      <c r="AA107">
        <f t="shared" si="20"/>
        <v>0</v>
      </c>
      <c r="AB107">
        <f t="shared" si="21"/>
        <v>0</v>
      </c>
      <c r="AC107">
        <f t="shared" si="22"/>
        <v>0</v>
      </c>
      <c r="AD107">
        <f t="shared" si="23"/>
        <v>0</v>
      </c>
    </row>
    <row r="108" spans="1:32" ht="37.200000000000003" thickTop="1" thickBot="1">
      <c r="A108" s="46" t="s">
        <v>170</v>
      </c>
      <c r="B108" s="52" t="s">
        <v>171</v>
      </c>
      <c r="C108" s="45"/>
      <c r="D108" s="32"/>
      <c r="E108" s="32"/>
      <c r="AA108">
        <f t="shared" si="20"/>
        <v>0</v>
      </c>
      <c r="AB108">
        <f t="shared" si="21"/>
        <v>0</v>
      </c>
      <c r="AC108">
        <f t="shared" si="22"/>
        <v>0</v>
      </c>
      <c r="AD108">
        <f t="shared" si="23"/>
        <v>0</v>
      </c>
    </row>
    <row r="109" spans="1:32" ht="22.2" thickTop="1" thickBot="1">
      <c r="A109" s="46" t="s">
        <v>172</v>
      </c>
      <c r="B109" s="52" t="s">
        <v>173</v>
      </c>
      <c r="C109" s="45"/>
      <c r="D109" s="32"/>
      <c r="E109" s="32"/>
      <c r="AA109">
        <f t="shared" si="20"/>
        <v>0</v>
      </c>
      <c r="AB109">
        <f t="shared" si="21"/>
        <v>0</v>
      </c>
      <c r="AC109">
        <f t="shared" si="22"/>
        <v>0</v>
      </c>
      <c r="AD109">
        <f t="shared" si="23"/>
        <v>0</v>
      </c>
    </row>
    <row r="110" spans="1:32" ht="37.200000000000003" thickTop="1" thickBot="1">
      <c r="A110" s="46" t="s">
        <v>174</v>
      </c>
      <c r="B110" s="52" t="s">
        <v>175</v>
      </c>
      <c r="C110" s="45"/>
      <c r="D110" s="32"/>
      <c r="E110" s="32"/>
      <c r="AA110">
        <f t="shared" si="20"/>
        <v>0</v>
      </c>
      <c r="AB110">
        <f t="shared" si="21"/>
        <v>0</v>
      </c>
      <c r="AC110">
        <f t="shared" si="22"/>
        <v>0</v>
      </c>
      <c r="AD110">
        <f t="shared" si="23"/>
        <v>0</v>
      </c>
    </row>
    <row r="111" spans="1:32" ht="22.2" thickTop="1" thickBot="1">
      <c r="A111" s="46" t="s">
        <v>176</v>
      </c>
      <c r="B111" s="52" t="s">
        <v>177</v>
      </c>
      <c r="C111" s="45"/>
      <c r="D111" s="32"/>
      <c r="E111" s="32"/>
      <c r="AA111">
        <f t="shared" si="20"/>
        <v>0</v>
      </c>
      <c r="AB111">
        <f t="shared" si="21"/>
        <v>0</v>
      </c>
      <c r="AC111">
        <f t="shared" si="22"/>
        <v>0</v>
      </c>
      <c r="AD111">
        <f t="shared" si="23"/>
        <v>0</v>
      </c>
    </row>
    <row r="112" spans="1:32" ht="37.200000000000003" thickTop="1" thickBot="1">
      <c r="A112" s="46" t="s">
        <v>178</v>
      </c>
      <c r="B112" s="52" t="s">
        <v>179</v>
      </c>
      <c r="C112" s="45"/>
      <c r="D112" s="32"/>
      <c r="E112" s="32"/>
      <c r="AA112">
        <f t="shared" si="20"/>
        <v>0</v>
      </c>
      <c r="AB112">
        <f t="shared" si="21"/>
        <v>0</v>
      </c>
      <c r="AC112">
        <f t="shared" si="22"/>
        <v>0</v>
      </c>
      <c r="AD112">
        <f t="shared" si="23"/>
        <v>0</v>
      </c>
    </row>
    <row r="113" spans="1:30" ht="22.2" thickTop="1" thickBot="1">
      <c r="A113" s="46" t="s">
        <v>180</v>
      </c>
      <c r="B113" s="52" t="s">
        <v>181</v>
      </c>
      <c r="C113" s="45"/>
      <c r="D113" s="32"/>
      <c r="E113" s="32"/>
      <c r="AA113">
        <f t="shared" si="20"/>
        <v>0</v>
      </c>
      <c r="AB113">
        <f t="shared" si="21"/>
        <v>0</v>
      </c>
      <c r="AC113">
        <f t="shared" si="22"/>
        <v>0</v>
      </c>
      <c r="AD113">
        <f t="shared" si="23"/>
        <v>0</v>
      </c>
    </row>
    <row r="114" spans="1:30" ht="22.2" thickTop="1" thickBot="1">
      <c r="A114" s="46" t="s">
        <v>182</v>
      </c>
      <c r="B114" s="52" t="s">
        <v>183</v>
      </c>
      <c r="C114" s="45"/>
      <c r="D114" s="32"/>
      <c r="E114" s="32"/>
      <c r="AA114">
        <f t="shared" si="20"/>
        <v>0</v>
      </c>
      <c r="AB114">
        <f t="shared" si="21"/>
        <v>0</v>
      </c>
      <c r="AC114">
        <f t="shared" si="22"/>
        <v>0</v>
      </c>
      <c r="AD114">
        <f t="shared" si="23"/>
        <v>0</v>
      </c>
    </row>
  </sheetData>
  <sheetProtection algorithmName="SHA-512" hashValue="KEJtynFMUGCWMqrI5vk9XjA0zA6+ndCOjehsybNQ1opVIaSjZo4+C9wg0lrnijr+lhF3m7AoRIhEXjcH4cYYYA==" saltValue="k0uW1AU+PZakKPpmSj4wLg==" spinCount="100000" sheet="1" objects="1" scenarios="1"/>
  <mergeCells count="21">
    <mergeCell ref="C97:D97"/>
    <mergeCell ref="C105:D105"/>
    <mergeCell ref="C60:D60"/>
    <mergeCell ref="A63:A71"/>
    <mergeCell ref="C63:E63"/>
    <mergeCell ref="C79:D79"/>
    <mergeCell ref="A84:A94"/>
    <mergeCell ref="C84:E84"/>
    <mergeCell ref="C12:D12"/>
    <mergeCell ref="C17:D17"/>
    <mergeCell ref="A18:A29"/>
    <mergeCell ref="C18:E18"/>
    <mergeCell ref="C32:D32"/>
    <mergeCell ref="A33:A52"/>
    <mergeCell ref="C33:E33"/>
    <mergeCell ref="A1:E1"/>
    <mergeCell ref="A2:E2"/>
    <mergeCell ref="A3:E3"/>
    <mergeCell ref="C4:E4"/>
    <mergeCell ref="A6:E6"/>
    <mergeCell ref="C7:D7"/>
  </mergeCells>
  <dataValidations count="1">
    <dataValidation type="list" showInputMessage="1" showErrorMessage="1" sqref="C8:C11 C13:C16 C19:C31 C34:C59 C61:C62 C64:C78 C80:C83 C85:C96 C98:C104 C106:C114">
      <formula1>"Met,Partially Met,UnMet,Not Applicable"</formula1>
    </dataValidation>
  </dataValidations>
  <pageMargins left="0.70866141732283505" right="0.70866141732283505" top="0.74803149606299202" bottom="0.74803149606299202" header="0.31496062992126" footer="0.31496062992126"/>
  <pageSetup paperSize="9" scale="48" orientation="landscape"/>
  <rowBreaks count="5" manualBreakCount="5">
    <brk id="16" max="5" man="1"/>
    <brk id="31" max="5" man="1"/>
    <brk id="59" max="5" man="1"/>
    <brk id="78" max="5" man="1"/>
    <brk id="96" max="5"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SMCS7</vt:lpstr>
      <vt:lpstr>SMCS7!Print_Area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Ashraf Musa</dc:creator>
  <cp:lastModifiedBy>Ashraf Musa</cp:lastModifiedBy>
  <dcterms:created xsi:type="dcterms:W3CDTF">2025-08-22T13:37:54Z</dcterms:created>
  <dcterms:modified xsi:type="dcterms:W3CDTF">2025-08-22T13:37:55Z</dcterms:modified>
</cp:coreProperties>
</file>