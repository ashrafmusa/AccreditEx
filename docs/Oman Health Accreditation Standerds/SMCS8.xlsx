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8" sheetId="1" r:id="rId1"/>
  </sheets>
  <definedNames>
    <definedName name="_Toc45702513" localSheetId="0">SMCS8!#REF!</definedName>
    <definedName name="_Toc87294447" localSheetId="0">SMCS8!$B$76</definedName>
    <definedName name="_xlnm.Print_Area" localSheetId="0">SMCS8!$A$1:$F$150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9" i="1" l="1"/>
  <c r="AC149" i="1"/>
  <c r="AB149" i="1"/>
  <c r="AA149" i="1"/>
  <c r="AD148" i="1"/>
  <c r="AC148" i="1"/>
  <c r="AB148" i="1"/>
  <c r="AA148" i="1"/>
  <c r="AD147" i="1"/>
  <c r="AC147" i="1"/>
  <c r="AB147" i="1"/>
  <c r="AA147" i="1"/>
  <c r="AD146" i="1"/>
  <c r="AC146" i="1"/>
  <c r="AB146" i="1"/>
  <c r="AA146" i="1"/>
  <c r="AD145" i="1"/>
  <c r="AC145" i="1"/>
  <c r="AB145" i="1"/>
  <c r="AA145" i="1"/>
  <c r="AF144" i="1" s="1"/>
  <c r="AD143" i="1"/>
  <c r="AC143" i="1"/>
  <c r="AB143" i="1"/>
  <c r="AA143" i="1"/>
  <c r="AD142" i="1"/>
  <c r="AC142" i="1"/>
  <c r="AB142" i="1"/>
  <c r="AA142" i="1"/>
  <c r="AD141" i="1"/>
  <c r="AC141" i="1"/>
  <c r="AB141" i="1"/>
  <c r="AA141" i="1"/>
  <c r="AD140" i="1"/>
  <c r="AC140" i="1"/>
  <c r="AB140" i="1"/>
  <c r="AA140" i="1"/>
  <c r="AD139" i="1"/>
  <c r="AC139" i="1"/>
  <c r="AB139" i="1"/>
  <c r="AA139" i="1"/>
  <c r="AD138" i="1"/>
  <c r="AC138" i="1"/>
  <c r="AB138" i="1"/>
  <c r="AA138" i="1"/>
  <c r="AE137" i="1" s="1"/>
  <c r="E137" i="1" s="1"/>
  <c r="AF137" i="1"/>
  <c r="AD136" i="1"/>
  <c r="AC136" i="1"/>
  <c r="AB136" i="1"/>
  <c r="AA136" i="1"/>
  <c r="AD135" i="1"/>
  <c r="AC135" i="1"/>
  <c r="AB135" i="1"/>
  <c r="AA135" i="1"/>
  <c r="AD134" i="1"/>
  <c r="AC134" i="1"/>
  <c r="AB134" i="1"/>
  <c r="AA134" i="1"/>
  <c r="AD133" i="1"/>
  <c r="AC133" i="1"/>
  <c r="AB133" i="1"/>
  <c r="AA133" i="1"/>
  <c r="AD132" i="1"/>
  <c r="AC132" i="1"/>
  <c r="AB132" i="1"/>
  <c r="AA132" i="1"/>
  <c r="AD131" i="1"/>
  <c r="AC131" i="1"/>
  <c r="AB131" i="1"/>
  <c r="AA131" i="1"/>
  <c r="AD130" i="1"/>
  <c r="AC130" i="1"/>
  <c r="AB130" i="1"/>
  <c r="AA130" i="1"/>
  <c r="AF128" i="1" s="1"/>
  <c r="AD129" i="1"/>
  <c r="AC129" i="1"/>
  <c r="AB129" i="1"/>
  <c r="AA129" i="1"/>
  <c r="AE128" i="1"/>
  <c r="E128" i="1" s="1"/>
  <c r="AD127" i="1"/>
  <c r="AC127" i="1"/>
  <c r="AB127" i="1"/>
  <c r="AA127" i="1"/>
  <c r="AD126" i="1"/>
  <c r="AC126" i="1"/>
  <c r="AB126" i="1"/>
  <c r="AA126" i="1"/>
  <c r="AD125" i="1"/>
  <c r="AC125" i="1"/>
  <c r="AB125" i="1"/>
  <c r="AA125" i="1"/>
  <c r="AD124" i="1"/>
  <c r="AC124" i="1"/>
  <c r="AB124" i="1"/>
  <c r="AA124" i="1"/>
  <c r="AD123" i="1"/>
  <c r="AC123" i="1"/>
  <c r="AB123" i="1"/>
  <c r="AE121" i="1" s="1"/>
  <c r="E121" i="1" s="1"/>
  <c r="AA123" i="1"/>
  <c r="AD122" i="1"/>
  <c r="AC122" i="1"/>
  <c r="AB122" i="1"/>
  <c r="AA122" i="1"/>
  <c r="AF121" i="1"/>
  <c r="AD120" i="1"/>
  <c r="AC120" i="1"/>
  <c r="AB120" i="1"/>
  <c r="AA120" i="1"/>
  <c r="AD119" i="1"/>
  <c r="AC119" i="1"/>
  <c r="AB119" i="1"/>
  <c r="AA119" i="1"/>
  <c r="AD118" i="1"/>
  <c r="AC118" i="1"/>
  <c r="AB118" i="1"/>
  <c r="AA118" i="1"/>
  <c r="AD117" i="1"/>
  <c r="AC117" i="1"/>
  <c r="AB117" i="1"/>
  <c r="AA117" i="1"/>
  <c r="AD116" i="1"/>
  <c r="AC116" i="1"/>
  <c r="AB116" i="1"/>
  <c r="AA116" i="1"/>
  <c r="AD115" i="1"/>
  <c r="AC115" i="1"/>
  <c r="AB115" i="1"/>
  <c r="AA115" i="1"/>
  <c r="AD114" i="1"/>
  <c r="AC114" i="1"/>
  <c r="AB114" i="1"/>
  <c r="AA114" i="1"/>
  <c r="AD113" i="1"/>
  <c r="AC113" i="1"/>
  <c r="AB113" i="1"/>
  <c r="AA113" i="1"/>
  <c r="AD112" i="1"/>
  <c r="AC112" i="1"/>
  <c r="AB112" i="1"/>
  <c r="AA112" i="1"/>
  <c r="AD111" i="1"/>
  <c r="AC111" i="1"/>
  <c r="AB111" i="1"/>
  <c r="AA111" i="1"/>
  <c r="AD110" i="1"/>
  <c r="AC110" i="1"/>
  <c r="AB110" i="1"/>
  <c r="AA110" i="1"/>
  <c r="AD109" i="1"/>
  <c r="AC109" i="1"/>
  <c r="AB109" i="1"/>
  <c r="AA109" i="1"/>
  <c r="AF107" i="1" s="1"/>
  <c r="AD106" i="1"/>
  <c r="AC106" i="1"/>
  <c r="AB106" i="1"/>
  <c r="AA106" i="1"/>
  <c r="AD105" i="1"/>
  <c r="AC105" i="1"/>
  <c r="AB105" i="1"/>
  <c r="AA105" i="1"/>
  <c r="AD104" i="1"/>
  <c r="AC104" i="1"/>
  <c r="AB104" i="1"/>
  <c r="AA104" i="1"/>
  <c r="AF102" i="1" s="1"/>
  <c r="AD103" i="1"/>
  <c r="AC103" i="1"/>
  <c r="AB103" i="1"/>
  <c r="AA103" i="1"/>
  <c r="AD101" i="1"/>
  <c r="AC101" i="1"/>
  <c r="AB101" i="1"/>
  <c r="AA101" i="1"/>
  <c r="AD100" i="1"/>
  <c r="AC100" i="1"/>
  <c r="AB100" i="1"/>
  <c r="AA100" i="1"/>
  <c r="AD99" i="1"/>
  <c r="AC99" i="1"/>
  <c r="AB99" i="1"/>
  <c r="AA99" i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D92" i="1"/>
  <c r="AC92" i="1"/>
  <c r="AB92" i="1"/>
  <c r="AA92" i="1"/>
  <c r="AD91" i="1"/>
  <c r="AC91" i="1"/>
  <c r="AB91" i="1"/>
  <c r="AA91" i="1"/>
  <c r="AD90" i="1"/>
  <c r="AC90" i="1"/>
  <c r="AB90" i="1"/>
  <c r="AA90" i="1"/>
  <c r="AD89" i="1"/>
  <c r="AC89" i="1"/>
  <c r="AB89" i="1"/>
  <c r="AA89" i="1"/>
  <c r="AD88" i="1"/>
  <c r="AC88" i="1"/>
  <c r="AB88" i="1"/>
  <c r="AA88" i="1"/>
  <c r="AD87" i="1"/>
  <c r="AC87" i="1"/>
  <c r="AB87" i="1"/>
  <c r="AA87" i="1"/>
  <c r="AD86" i="1"/>
  <c r="AC86" i="1"/>
  <c r="AB86" i="1"/>
  <c r="AA86" i="1"/>
  <c r="AD85" i="1"/>
  <c r="AC85" i="1"/>
  <c r="AB85" i="1"/>
  <c r="AA85" i="1"/>
  <c r="AD84" i="1"/>
  <c r="AC84" i="1"/>
  <c r="AB84" i="1"/>
  <c r="AA84" i="1"/>
  <c r="AD83" i="1"/>
  <c r="AC83" i="1"/>
  <c r="AB83" i="1"/>
  <c r="AA83" i="1"/>
  <c r="AD82" i="1"/>
  <c r="AC82" i="1"/>
  <c r="AB82" i="1"/>
  <c r="AA82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F76" i="1"/>
  <c r="AE76" i="1"/>
  <c r="E76" i="1" s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D67" i="1"/>
  <c r="AC67" i="1"/>
  <c r="AB67" i="1"/>
  <c r="AA67" i="1"/>
  <c r="AD65" i="1"/>
  <c r="AC65" i="1"/>
  <c r="AB65" i="1"/>
  <c r="AA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C53" i="1"/>
  <c r="AB53" i="1"/>
  <c r="AE50" i="1" s="1"/>
  <c r="E50" i="1" s="1"/>
  <c r="AA53" i="1"/>
  <c r="AD52" i="1"/>
  <c r="AC52" i="1"/>
  <c r="AB52" i="1"/>
  <c r="AA52" i="1"/>
  <c r="AF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8" i="1"/>
  <c r="AC38" i="1"/>
  <c r="AB38" i="1"/>
  <c r="AA38" i="1"/>
  <c r="AF37" i="1" s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E32" i="1" s="1"/>
  <c r="E32" i="1" s="1"/>
  <c r="AF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F27" i="1" s="1"/>
  <c r="AD28" i="1"/>
  <c r="AC28" i="1"/>
  <c r="AB28" i="1"/>
  <c r="AA28" i="1"/>
  <c r="AE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1" i="1"/>
  <c r="AC11" i="1"/>
  <c r="AB11" i="1"/>
  <c r="AA11" i="1"/>
  <c r="AD10" i="1"/>
  <c r="AC10" i="1"/>
  <c r="AB10" i="1"/>
  <c r="AA10" i="1"/>
  <c r="AD9" i="1"/>
  <c r="AC9" i="1"/>
  <c r="AB9" i="1"/>
  <c r="AE7" i="1" s="1"/>
  <c r="E7" i="1" s="1"/>
  <c r="AA9" i="1"/>
  <c r="AD8" i="1"/>
  <c r="AC8" i="1"/>
  <c r="AB8" i="1"/>
  <c r="AA8" i="1"/>
  <c r="AB4" i="1" s="1"/>
  <c r="AF7" i="1"/>
  <c r="E27" i="1" l="1"/>
  <c r="AE37" i="1"/>
  <c r="E37" i="1" s="1"/>
  <c r="AE144" i="1"/>
  <c r="E144" i="1" s="1"/>
  <c r="AE102" i="1"/>
  <c r="E102" i="1" s="1"/>
  <c r="AA4" i="1"/>
  <c r="C4" i="1" s="1"/>
  <c r="AE107" i="1"/>
  <c r="E107" i="1" s="1"/>
</calcChain>
</file>

<file path=xl/sharedStrings.xml><?xml version="1.0" encoding="utf-8"?>
<sst xmlns="http://schemas.openxmlformats.org/spreadsheetml/2006/main" count="240" uniqueCount="235">
  <si>
    <t xml:space="preserve"> Quality Assurance Center </t>
  </si>
  <si>
    <t xml:space="preserve">Oman Healthcare Accrediation System </t>
  </si>
  <si>
    <t xml:space="preserve">Self Assessment Tool (SAT) </t>
  </si>
  <si>
    <r>
      <rPr>
        <b/>
        <sz val="20"/>
        <rFont val="Times New Roman"/>
        <charset val="134"/>
      </rPr>
      <t xml:space="preserve">Chapter </t>
    </r>
    <r>
      <rPr>
        <b/>
        <sz val="24"/>
        <rFont val="Times New Roman"/>
        <charset val="134"/>
      </rPr>
      <t>4</t>
    </r>
  </si>
  <si>
    <t>Specialized Medical Care Services (SMCS)</t>
  </si>
  <si>
    <t>Conformity Level</t>
  </si>
  <si>
    <t xml:space="preserve">Evidence </t>
  </si>
  <si>
    <t xml:space="preserve">Comments </t>
  </si>
  <si>
    <t xml:space="preserve">Critical Care  </t>
  </si>
  <si>
    <t>SMCS.79</t>
  </si>
  <si>
    <t>The ICU is well structured, and designed for the care critically ill patients..</t>
  </si>
  <si>
    <t>Total Measures: 18</t>
  </si>
  <si>
    <t>SMCS.79.a</t>
  </si>
  <si>
    <t>The intensive care unit is controlled area with restricted access.</t>
  </si>
  <si>
    <t>SMCS.79.b</t>
  </si>
  <si>
    <t>The patients’ area is sufficient to deliver care (20 meters of floor area).</t>
  </si>
  <si>
    <t>SMCS.79.c</t>
  </si>
  <si>
    <t>The unit has hand hygiene facilities available near each patients’ care, all access areas.</t>
  </si>
  <si>
    <t>SMCS.79.d</t>
  </si>
  <si>
    <t>The unit has facility for isolation measures.</t>
  </si>
  <si>
    <t>SMCS.79.e</t>
  </si>
  <si>
    <t xml:space="preserve"> The structure of the unit ensures the availability of the followings: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</si>
  <si>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Computing Working Station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</si>
  <si>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Central Monitoring Station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</si>
  <si>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Designated storage area for medication and essential - life supporting equipment.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</si>
  <si>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Medication Preparation area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</si>
  <si>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Clean and dirty utility areas.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</si>
  <si>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Counselling area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</si>
  <si>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Mothers Rest Rooms, for pediatric ICUs.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</si>
  <si>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Family Rest Area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</si>
  <si>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Doctor’s On Call Rooms in a close approximate to the unit.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</si>
  <si>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Medical and Nursing Office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</si>
  <si>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Staff Lounge/ Rest area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</si>
  <si>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Patient Toilets.</t>
    </r>
  </si>
  <si>
    <t>SMCS.79.f</t>
  </si>
  <si>
    <t>The unit follows hospital infection control measures.</t>
  </si>
  <si>
    <t>SMCS.79.g</t>
  </si>
  <si>
    <t>The unit ensures the presences of natural light and window views.</t>
  </si>
  <si>
    <t xml:space="preserve">SMCS.80  </t>
  </si>
  <si>
    <t>A senior qualified consultant is assigned to supervise the intensive care unit (ICU).</t>
  </si>
  <si>
    <t>Total Measures: 4</t>
  </si>
  <si>
    <t>SMCS.80.a</t>
  </si>
  <si>
    <t>The intensive care unit is directed by qualified critical care consultant, who is qualified by education, experience and training.</t>
  </si>
  <si>
    <t>SMCS.80.b</t>
  </si>
  <si>
    <t>A consultant has minimum of 2 years’ experience as a full time intensivist.</t>
  </si>
  <si>
    <t>SMCS.80.c</t>
  </si>
  <si>
    <t xml:space="preserve">The head of ICU oversees, approves, and evaluate quality management activities in the unit. </t>
  </si>
  <si>
    <t>SMCS.80.d</t>
  </si>
  <si>
    <t>The head of ICU approves local critical care policies and protocols.</t>
  </si>
  <si>
    <t>SMCS.81</t>
  </si>
  <si>
    <t>The ICU has well trained and qualified intensive care medical and nursing staff.</t>
  </si>
  <si>
    <t>SMCS.81.a</t>
  </si>
  <si>
    <t>The intensive care unit is covered by registered physicians, who are qualified to manage critically ill patients 24/7. These Physicians have training in intensive care (completed membership), or a senior specialist and above, or  registered Specialist who has worked under supervision of responsible physician. SMCS.78.a</t>
  </si>
  <si>
    <t>SMCS.81.b</t>
  </si>
  <si>
    <t>The intensive care unit nurse manager is a registered nurse, who is qualified by education, training and experience in critical care practice, and undertaken leadership management training.</t>
  </si>
  <si>
    <t>SMCS.81.c</t>
  </si>
  <si>
    <t xml:space="preserve">The ICU bedside nurses are qualified and experienced in managing critically ill patients. </t>
  </si>
  <si>
    <t>SMCS.81.d</t>
  </si>
  <si>
    <t>Medical and nursing staff working in the adult intensive care unit are certified in Basic Life Support (BLS), advanced cardiac life support (ACLS), Pediatric Cardiac Life Support (PCLS).</t>
  </si>
  <si>
    <t>SMCS.82</t>
  </si>
  <si>
    <t>The ICU implements various approaches to maintain the competency of the unit staff.</t>
  </si>
  <si>
    <t>Total Measures: 11</t>
  </si>
  <si>
    <t>SMCS.82.a</t>
  </si>
  <si>
    <t xml:space="preserve">The unit has an orientation program and training for all newly joining nursing staff, with a written orientation checklist.    </t>
  </si>
  <si>
    <t>SMCS.82.b</t>
  </si>
  <si>
    <t>All unit nursing staff receive required training and education on intensive care related cases and procedures, covering</t>
  </si>
  <si>
    <t>Fundamental critical care support</t>
  </si>
  <si>
    <t>VAP bundle</t>
  </si>
  <si>
    <t>Care of patient with ventilator</t>
  </si>
  <si>
    <t>Care of patient with tracheostomy, and others</t>
  </si>
  <si>
    <t xml:space="preserve">Safe Medication Practice </t>
  </si>
  <si>
    <t>Infection control</t>
  </si>
  <si>
    <t>SMCS.82.c</t>
  </si>
  <si>
    <t>The unit has a clinical nurse educator/ instructor, who is responsible for staff training and monitoring competency.</t>
  </si>
  <si>
    <t>SMCS.82.d</t>
  </si>
  <si>
    <t>The unit has an annual training plan to ensure a proper coverage of the staff into different courses.</t>
  </si>
  <si>
    <t>SMCS.82.e</t>
  </si>
  <si>
    <t xml:space="preserve">The staff performance is monitored using competency checklist. </t>
  </si>
  <si>
    <t>SMCS.82.f</t>
  </si>
  <si>
    <t xml:space="preserve">The staff competency assessment is documented and kept in staff’s file. </t>
  </si>
  <si>
    <t>SMCS.83</t>
  </si>
  <si>
    <t xml:space="preserve">The intensive care unit has written polices and guidelines to guide the provision of care to critically ill patients.   </t>
  </si>
  <si>
    <t>Total Measures: 23</t>
  </si>
  <si>
    <t>SMCS.83.a</t>
  </si>
  <si>
    <t xml:space="preserve"> The unit has policies and procedures/ guidelines that guide the care of critical care patients including but is not limited to: 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</si>
  <si>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Patient initial assessment and re-assessment, including time frames for completing of initial assessments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</si>
  <si>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ICU admission and discharge criteria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</si>
  <si>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evidence-based criteria for intubation, weaning off ventilator and extubating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</si>
  <si>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Infection control practices in ICU.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</si>
  <si>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Venous Thromboembolism (VTE) Prophylaxis.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</si>
  <si>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Ventilated Associated Pneumonia (VAP) Bundle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</si>
  <si>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Central line Associated Blood Stream Infection (CLABSI)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</si>
  <si>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Monitoring of patient circulation, respiration, and oxygenation, and other hemodynamic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</si>
  <si>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Care of patient with ventilator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</si>
  <si>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Care of patient with tracheostomy, and others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</si>
  <si>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Handover procedure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</si>
  <si>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Safe medication practice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</si>
  <si>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Fire Safety in ICU.  </t>
    </r>
  </si>
  <si>
    <t>SMCS.83.b</t>
  </si>
  <si>
    <t>All ICU medical and nursing staff are trained with policies and procedures.</t>
  </si>
  <si>
    <t>SMCS.83.c</t>
  </si>
  <si>
    <t>The ICU sets number of Key Performance Indicators (KPIs) that includes but is not limited to the followings: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</si>
  <si>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Central Line Associated Blood Stream Infection (CLABSI).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</si>
  <si>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Ventilated Associated Pneumonia (VAP).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</si>
  <si>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Unplanned ICU Readmission within 48 hrs.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</si>
  <si>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Re-intubation within 24 hrs.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</si>
  <si>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Re-Exploration within 24 hrs. Post-Cardiac Surgery.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</si>
  <si>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Length of Stay (LOS).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</si>
  <si>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Pressure ulcer development in ICU.</t>
    </r>
  </si>
  <si>
    <t>SMCS.83.d</t>
  </si>
  <si>
    <t xml:space="preserve">The ICU conducts regular to assess compliance to policies and guidelines, and monitor KPIs. </t>
  </si>
  <si>
    <t>SMCS.84</t>
  </si>
  <si>
    <t>The unit has adequate equipment and supplies to run critical care service</t>
  </si>
  <si>
    <t>Total Measures: 24</t>
  </si>
  <si>
    <t>SMCS.84.a</t>
  </si>
  <si>
    <t>The unit has the following equipment are available and accessible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</si>
  <si>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Ventilators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</si>
  <si>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Specialized Beds.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</si>
  <si>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Lifting and weighting equipment.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</si>
  <si>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Mechanical ventilators (Invasive and non-invasive).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</si>
  <si>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Hand ventilating assemblies.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</si>
  <si>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Suction apparatus.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</si>
  <si>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Airway management kits (including difficult airways equipment, airway sets).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</si>
  <si>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Resuscitation Work Station (Crash Trolley that has defibrillator and all emergency supplies and medications).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</si>
  <si>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Access to bronchoscope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</si>
  <si>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Ultra Sound (US) machine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</si>
  <si>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Invasive and non-invasive monitoring equipment (Electro Cardio Graph- ECG, Pulse Oximeter, Endo Tracheal- ET CO2, invasive and non-invasive BP monitoring and Temp).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</si>
  <si>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Defibrillator and pacing facilities.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</si>
  <si>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ECG machine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</si>
  <si>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Patient's Temperature controlling equipment.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</si>
  <si>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Infusions and specialized pumps.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</si>
  <si>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Access to renal replacement therapy.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</si>
  <si>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Portable Transport equipment (Monitors, Ventilators and Transport Kit).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</si>
  <si>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Point of care equipment: Random Blood Sugar (RBS) monitoring, Arterial Blood Gas (ABG) monitoring and analysis.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</si>
  <si>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Intravenous infusion and blood transfusion pumps.</t>
    </r>
  </si>
  <si>
    <t>SMCS.84.b</t>
  </si>
  <si>
    <t>The unit has enough isolation rooms with a negative pressure room.</t>
  </si>
  <si>
    <t>SMCS.84.c</t>
  </si>
  <si>
    <t>The unit has a system that ensures maintenance, safety and function of the equipment.</t>
  </si>
  <si>
    <t>SMCS.84.d</t>
  </si>
  <si>
    <t>The unit has designated storage area for this equipment.</t>
  </si>
  <si>
    <t>SMCS.84.e</t>
  </si>
  <si>
    <t>The unit has an access to emergency equipment.</t>
  </si>
  <si>
    <t>SMCS.84.f</t>
  </si>
  <si>
    <t>All staff are trained on the use of the equipment.</t>
  </si>
  <si>
    <t>SMCS.85</t>
  </si>
  <si>
    <r>
      <rPr>
        <b/>
        <sz val="14"/>
        <color theme="1"/>
        <rFont val="Times New Roman"/>
        <charset val="134"/>
      </rPr>
      <t>The intensive care unit has implemented process of admission and discharge of patients.</t>
    </r>
    <r>
      <rPr>
        <sz val="14"/>
        <color theme="1"/>
        <rFont val="Times New Roman"/>
        <charset val="134"/>
      </rPr>
      <t xml:space="preserve">  </t>
    </r>
  </si>
  <si>
    <t>SMCS.85.a</t>
  </si>
  <si>
    <t xml:space="preserve">The unit has clear written guideline with criteria of admission and discharge of patients. </t>
  </si>
  <si>
    <t>SMCS.85.b</t>
  </si>
  <si>
    <t>The written criteria for admission and discharge are collaboratively written between relevant teams and are based on patients’ physical parameters.</t>
  </si>
  <si>
    <t>SMCS.85.c</t>
  </si>
  <si>
    <t xml:space="preserve">The admission and discharge process in the ICU is coordinated between the ICU physician and the primary treating physician  </t>
  </si>
  <si>
    <t>SMCS.85.d</t>
  </si>
  <si>
    <t xml:space="preserve">There is documented handover between the unit physician and the intensive care physician </t>
  </si>
  <si>
    <t>SMCS.86</t>
  </si>
  <si>
    <t xml:space="preserve">Patients care in adult intensive care unit is provided by multidisciplinary team </t>
  </si>
  <si>
    <t>Total Measures: 12</t>
  </si>
  <si>
    <t>SMCS.86.a</t>
  </si>
  <si>
    <t xml:space="preserve">The intensive care is coordinated with  different disciplines participating in the plan of care  including: 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</si>
  <si>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Intensivist.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</si>
  <si>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Critical Care Nurses.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</si>
  <si>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Respiratory therapist.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</si>
  <si>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Physiotherapist/ occupational therapist.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</si>
  <si>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Clinical pharmacist.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</si>
  <si>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Dieticians.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</si>
  <si>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Social worker.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</si>
  <si>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Infection prevention and control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</si>
  <si>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Patient Safety Officer </t>
    </r>
  </si>
  <si>
    <t>SMCS.86.b</t>
  </si>
  <si>
    <t>The care provided to all critical ill patients is fair and equal in ICU and outside ICU (e.g., patient on ventilator in ED).</t>
  </si>
  <si>
    <t>SMCS.86.c</t>
  </si>
  <si>
    <t>The team communicates with the admitting and referring services</t>
  </si>
  <si>
    <t>SMCS.86.d</t>
  </si>
  <si>
    <t xml:space="preserve">The coordinated care is between the multidisciplinary team and documented in patient medical records. </t>
  </si>
  <si>
    <t>SMCS.87</t>
  </si>
  <si>
    <t xml:space="preserve">The intensive care unit has an active Early Warning System (EWS). </t>
  </si>
  <si>
    <t>Total Measures: 6</t>
  </si>
  <si>
    <t>SMCS.87.a</t>
  </si>
  <si>
    <t xml:space="preserve">The unit has a guideline for implementing EWS process with term of reference for the team. </t>
  </si>
  <si>
    <t>SMCS.87.b</t>
  </si>
  <si>
    <t xml:space="preserve">The hospital adapts clinical guidelines that ensure implementation of the system </t>
  </si>
  <si>
    <t>SMCS.87.c</t>
  </si>
  <si>
    <t xml:space="preserve">All staff are trained on the importance of adherence to the guide of the system and are familiar on their roles and responsibilities. </t>
  </si>
  <si>
    <t>SMCS.87.d</t>
  </si>
  <si>
    <t xml:space="preserve">The hospital provides all resources for the right implementation, EWS monitoring, and documentation of the EWS process. </t>
  </si>
  <si>
    <t>SMCS.87.e</t>
  </si>
  <si>
    <t>When patient EWS score requires an action, all steps of action done as per the guide and treatment plans are documented in patient's records.</t>
  </si>
  <si>
    <t>SMCS.87.f</t>
  </si>
  <si>
    <t xml:space="preserve">There is regular audit conducted to ensure the compliance to the guideline and its procedures. </t>
  </si>
  <si>
    <t>SMCS.88</t>
  </si>
  <si>
    <t>The intensive Care unit strictly follows and supervises infection control and prevention standards.</t>
  </si>
  <si>
    <t>Total Measures: 8</t>
  </si>
  <si>
    <t>SMCS.88.a</t>
  </si>
  <si>
    <t xml:space="preserve">The intensive Care unit follows hospital infection control and prevention guidelines. </t>
  </si>
  <si>
    <t>SMCS.88.b</t>
  </si>
  <si>
    <t xml:space="preserve">All intensive Care unit staff are well trained and oriented to the infection control guidelines applied to the unit. The unit allocate champion to monitor infection within the unit. </t>
  </si>
  <si>
    <t>SMCS.88.c</t>
  </si>
  <si>
    <t xml:space="preserve">The intensive Care unit is maintained clean and disinfected.  </t>
  </si>
  <si>
    <t>SMCS.88.d</t>
  </si>
  <si>
    <t>Standard precautions are strictly followed in the intensive Care unit with strict emphasis on the hand hygiene and appropriate PPEs and other barriers.</t>
  </si>
  <si>
    <t>SMCS.88.e</t>
  </si>
  <si>
    <t>All intensive care unit equipment and rooms are clean and disinfected as per the guidelines.</t>
  </si>
  <si>
    <t>SMCS.88.f</t>
  </si>
  <si>
    <t>Intensive Care unit scrub suits are only allowed inside the restricted areas of the unit.</t>
  </si>
  <si>
    <t>SMCS.88.g</t>
  </si>
  <si>
    <t xml:space="preserve">There is clear guideline on management, and proper handling of patients with infectious diseases. </t>
  </si>
  <si>
    <t>SMCS.88.h</t>
  </si>
  <si>
    <t>There is regular audit to assess compliance to those policies.</t>
  </si>
  <si>
    <t>SMCS.89</t>
  </si>
  <si>
    <t>The unit has a system in place that ensures safe medication practice</t>
  </si>
  <si>
    <t>SMCS.89.a</t>
  </si>
  <si>
    <t xml:space="preserve">The unit follows hospital policy of safe medication management (obtaining, prescribing, preparing, recording, handling, storing, securing, dispensing, safe administration and disposal of drug </t>
  </si>
  <si>
    <t>SMCS.89.b</t>
  </si>
  <si>
    <t xml:space="preserve">The unit has safe place for medication preparation. </t>
  </si>
  <si>
    <t>SMCS.89.c</t>
  </si>
  <si>
    <t>The unit   staff are oriented and updated and trained about their roles in medication practice</t>
  </si>
  <si>
    <t>SMCS.89.d</t>
  </si>
  <si>
    <t>The unit follows high alert  and LASA medications policy.</t>
  </si>
  <si>
    <t>SMCS.89.e</t>
  </si>
  <si>
    <t>The unit has a clinical pharmacist.</t>
  </si>
  <si>
    <t>SMCS.89.f</t>
  </si>
  <si>
    <t>The unit audits staff compliance to the policy to ensure safe medication practice</t>
  </si>
  <si>
    <t>SMCS.90</t>
  </si>
  <si>
    <t xml:space="preserve">The unit ensures provision of proper and adequate nutritional support for critically ill patients. </t>
  </si>
  <si>
    <t>Total Measures: 5</t>
  </si>
  <si>
    <t>SMCS.90.a</t>
  </si>
  <si>
    <t>The unit has access to clinical dietitian who is experienced in critical care nutritional support</t>
  </si>
  <si>
    <t>There is a guideline for initiation of feeding (oral, enteral or parenteral).</t>
  </si>
  <si>
    <t>SMCS.90.c</t>
  </si>
  <si>
    <t>The unit has access for parenteral nutrition 24/7.</t>
  </si>
  <si>
    <t>SMCS90.d</t>
  </si>
  <si>
    <t>Patients’ nutritional needs are daily evaluated</t>
  </si>
  <si>
    <t>SMCS.90.e</t>
  </si>
  <si>
    <t>Nurses attend training of Enteral Nutrition infusion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</si>
</sst>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b/>
      <sz val="14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22"/>
      <color rgb="FFC00000"/>
      <name val="Calibri"/>
      <charset val="134"/>
      <scheme val="minor"/>
    </font>
    <font>
      <b/>
      <sz val="20"/>
      <name val="Times New Roman"/>
      <charset val="134"/>
    </font>
    <font>
      <b/>
      <sz val="24"/>
      <name val="Times New Roman"/>
      <charset val="134"/>
    </font>
    <font>
      <b/>
      <sz val="14"/>
      <name val="Times New Roman"/>
      <charset val="134"/>
    </font>
    <font>
      <b/>
      <sz val="12"/>
      <color rgb="FF000000"/>
      <name val="Times New Roman"/>
      <charset val="134"/>
    </font>
    <font>
      <b/>
      <sz val="16"/>
      <name val="Times New Roman"/>
      <charset val="134"/>
    </font>
    <font>
      <b/>
      <sz val="18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name val="Symbol"/>
      <charset val="2"/>
    </font>
    <font>
      <sz val="14"/>
      <name val="Times New Roman"/>
      <charset val="134"/>
    </font>
    <font>
      <b/>
      <sz val="18"/>
      <color theme="1"/>
      <name val="Times New Roman"/>
      <charset val="134"/>
    </font>
    <font>
      <b/>
      <sz val="16"/>
      <color theme="1"/>
      <name val="Times New Roman"/>
      <charset val="134"/>
    </font>
    <font>
      <sz val="14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4" xfId="0" applyFont="1" applyFill="1" applyBorder="1" applyAlignment="1">
      <alignment horizontal="center" vertical="center"/>
    </xf>
    <xf numFmtId="0" fontId="5" fillId="5" borderId="5" xfId="1" applyFont="1" applyBorder="1" applyAlignment="1">
      <alignment horizontal="center" vertical="center"/>
    </xf>
    <xf numFmtId="0" fontId="5" fillId="5" borderId="6" xfId="1" applyFont="1" applyBorder="1" applyAlignment="1">
      <alignment horizontal="center" vertical="center"/>
    </xf>
    <xf numFmtId="0" fontId="5" fillId="5" borderId="7" xfId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vertical="center"/>
    </xf>
    <xf numFmtId="0" fontId="9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justify" vertical="center" wrapText="1"/>
    </xf>
    <xf numFmtId="0" fontId="12" fillId="9" borderId="8" xfId="0" applyFont="1" applyFill="1" applyBorder="1" applyAlignment="1">
      <alignment horizontal="justify" vertical="center" wrapText="1"/>
    </xf>
    <xf numFmtId="0" fontId="12" fillId="9" borderId="9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justify" vertical="center" wrapText="1"/>
    </xf>
    <xf numFmtId="0" fontId="13" fillId="11" borderId="8" xfId="0" applyFont="1" applyFill="1" applyBorder="1" applyAlignment="1">
      <alignment vertical="center" wrapText="1"/>
    </xf>
    <xf numFmtId="0" fontId="14" fillId="0" borderId="8" xfId="0" applyFont="1" applyBorder="1" applyProtection="1">
      <protection locked="0"/>
    </xf>
    <xf numFmtId="0" fontId="0" fillId="0" borderId="8" xfId="0" applyBorder="1" applyProtection="1">
      <protection locked="0"/>
    </xf>
    <xf numFmtId="0" fontId="15" fillId="0" borderId="8" xfId="0" applyFont="1" applyBorder="1" applyProtection="1">
      <protection locked="0"/>
    </xf>
    <xf numFmtId="0" fontId="10" fillId="10" borderId="8" xfId="0" applyFont="1" applyFill="1" applyBorder="1" applyAlignment="1">
      <alignment horizontal="justify" vertical="center" wrapText="1"/>
    </xf>
    <xf numFmtId="0" fontId="13" fillId="12" borderId="8" xfId="0" applyFont="1" applyFill="1" applyBorder="1" applyAlignment="1">
      <alignment vertical="center" wrapText="1"/>
    </xf>
    <xf numFmtId="0" fontId="14" fillId="12" borderId="9" xfId="0" applyFont="1" applyFill="1" applyBorder="1" applyAlignment="1">
      <alignment horizontal="center"/>
    </xf>
    <xf numFmtId="0" fontId="14" fillId="12" borderId="10" xfId="0" applyFont="1" applyFill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16" fillId="11" borderId="8" xfId="0" applyFont="1" applyFill="1" applyBorder="1" applyAlignment="1">
      <alignment horizontal="justify" vertical="center" wrapText="1"/>
    </xf>
    <xf numFmtId="0" fontId="13" fillId="11" borderId="8" xfId="0" applyFont="1" applyFill="1" applyBorder="1" applyAlignment="1">
      <alignment horizontal="justify" vertical="center" wrapText="1"/>
    </xf>
    <xf numFmtId="0" fontId="18" fillId="9" borderId="13" xfId="0" applyFont="1" applyFill="1" applyBorder="1" applyAlignment="1">
      <alignment vertical="center" wrapText="1"/>
    </xf>
    <xf numFmtId="0" fontId="12" fillId="9" borderId="13" xfId="0" applyFont="1" applyFill="1" applyBorder="1" applyAlignment="1">
      <alignment vertical="center" wrapText="1"/>
    </xf>
    <xf numFmtId="0" fontId="19" fillId="10" borderId="8" xfId="0" applyFont="1" applyFill="1" applyBorder="1" applyAlignment="1">
      <alignment vertical="center" wrapText="1"/>
    </xf>
    <xf numFmtId="0" fontId="12" fillId="9" borderId="13" xfId="0" applyFont="1" applyFill="1" applyBorder="1" applyAlignment="1">
      <alignment horizontal="justify" vertical="center" wrapText="1"/>
    </xf>
    <xf numFmtId="0" fontId="11" fillId="9" borderId="13" xfId="0" applyFont="1" applyFill="1" applyBorder="1" applyAlignment="1">
      <alignment vertical="center" wrapText="1"/>
    </xf>
    <xf numFmtId="0" fontId="8" fillId="9" borderId="13" xfId="0" applyFont="1" applyFill="1" applyBorder="1" applyAlignment="1">
      <alignment horizontal="justify" vertical="center" wrapText="1"/>
    </xf>
    <xf numFmtId="0" fontId="13" fillId="12" borderId="8" xfId="0" applyFont="1" applyFill="1" applyBorder="1" applyAlignment="1">
      <alignment horizontal="justify" vertical="center" wrapText="1"/>
    </xf>
    <xf numFmtId="0" fontId="19" fillId="10" borderId="8" xfId="0" applyFont="1" applyFill="1" applyBorder="1" applyAlignment="1">
      <alignment vertical="center" wrapText="1"/>
    </xf>
    <xf numFmtId="0" fontId="16" fillId="11" borderId="8" xfId="0" applyFont="1" applyFill="1" applyBorder="1" applyAlignment="1">
      <alignment horizontal="left" vertical="center" wrapText="1" indent="1"/>
    </xf>
    <xf numFmtId="0" fontId="12" fillId="12" borderId="8" xfId="0" applyFont="1" applyFill="1" applyBorder="1" applyAlignment="1">
      <alignment vertical="center" wrapText="1"/>
    </xf>
    <xf numFmtId="0" fontId="8" fillId="9" borderId="13" xfId="0" applyFont="1" applyFill="1" applyBorder="1" applyAlignment="1">
      <alignment vertical="center" wrapText="1"/>
    </xf>
    <xf numFmtId="0" fontId="18" fillId="9" borderId="8" xfId="0" applyFont="1" applyFill="1" applyBorder="1" applyAlignment="1">
      <alignment vertical="center" wrapText="1"/>
    </xf>
    <xf numFmtId="0" fontId="19" fillId="10" borderId="8" xfId="0" applyFont="1" applyFill="1" applyBorder="1" applyAlignment="1">
      <alignment horizontal="justify" vertical="center" wrapText="1"/>
    </xf>
    <xf numFmtId="0" fontId="19" fillId="10" borderId="8" xfId="0" applyFont="1" applyFill="1" applyBorder="1" applyAlignment="1">
      <alignment horizontal="justify" vertical="center" wrapText="1"/>
    </xf>
    <xf numFmtId="0" fontId="20" fillId="0" borderId="0" xfId="0" applyFont="1"/>
    <xf numFmtId="0" fontId="1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F149"/>
  <sheetViews>
    <sheetView tabSelected="1" topLeftCell="A130" zoomScale="89" zoomScaleNormal="89" workbookViewId="0">
      <selection activeCell="C149" sqref="C149"/>
    </sheetView>
  </sheetViews>
  <sheetFormatPr defaultColWidth="11" defaultRowHeight="18"/>
  <cols>
    <col min="1" max="1" width="20.09765625" customWidth="1"/>
    <col min="2" max="2" width="94.3984375" style="53" customWidth="1"/>
    <col min="3" max="3" width="19.59765625" customWidth="1"/>
    <col min="4" max="4" width="70.59765625" customWidth="1"/>
    <col min="5" max="5" width="70.59765625" style="54" customWidth="1"/>
  </cols>
  <sheetData>
    <row r="1" spans="1:32" ht="34.5" customHeight="1">
      <c r="A1" s="1" t="s">
        <v>0</v>
      </c>
      <c r="B1" s="2"/>
      <c r="C1" s="2"/>
      <c r="D1" s="2"/>
      <c r="E1" s="3"/>
    </row>
    <row r="2" spans="1:32" ht="31.5" customHeight="1">
      <c r="A2" s="4" t="s">
        <v>1</v>
      </c>
      <c r="B2" s="5"/>
      <c r="C2" s="5"/>
      <c r="D2" s="5"/>
      <c r="E2" s="6"/>
    </row>
    <row r="3" spans="1:32" ht="33.9" customHeight="1">
      <c r="A3" s="7" t="s">
        <v>2</v>
      </c>
      <c r="B3" s="8"/>
      <c r="C3" s="8"/>
      <c r="D3" s="8"/>
      <c r="E3" s="9"/>
    </row>
    <row r="4" spans="1:32" ht="29.4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SUM(AA7:AA149)+SUM(AB7:AB149)*0.5</f>
        <v>0</v>
      </c>
      <c r="AB4">
        <f>COUNT(AA7:AA149)-SUM(AB7:AD149)</f>
        <v>125</v>
      </c>
    </row>
    <row r="5" spans="1:32" ht="45" customHeight="1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38.1" customHeight="1" thickTop="1" thickBot="1">
      <c r="A6" s="19" t="s">
        <v>8</v>
      </c>
      <c r="B6" s="20"/>
      <c r="C6" s="20"/>
      <c r="D6" s="20"/>
      <c r="E6" s="21"/>
    </row>
    <row r="7" spans="1:32" ht="60.75" customHeight="1" thickTop="1" thickBot="1">
      <c r="A7" s="22" t="s">
        <v>9</v>
      </c>
      <c r="B7" s="23" t="s">
        <v>10</v>
      </c>
      <c r="C7" s="24" t="s">
        <v>11</v>
      </c>
      <c r="D7" s="25"/>
      <c r="E7" s="26" t="str">
        <f>"Quotation: "&amp;ROUND((AE7/AF7)*100,2)&amp;"%"</f>
        <v>Quotation: 0%</v>
      </c>
      <c r="AE7">
        <f>SUM(AA8:AA26)+SUM(AB8:AB26)*0.5</f>
        <v>0</v>
      </c>
      <c r="AF7">
        <f>COUNT(AA8:AA26)-SUM(AD8:AD26)</f>
        <v>18</v>
      </c>
    </row>
    <row r="8" spans="1:32" ht="22.2" thickTop="1" thickBot="1">
      <c r="A8" s="27" t="s">
        <v>12</v>
      </c>
      <c r="B8" s="28" t="s">
        <v>13</v>
      </c>
      <c r="C8" s="29"/>
      <c r="D8" s="30"/>
      <c r="E8" s="31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22.2" thickTop="1" thickBot="1">
      <c r="A9" s="27" t="s">
        <v>14</v>
      </c>
      <c r="B9" s="28" t="s">
        <v>15</v>
      </c>
      <c r="C9" s="29"/>
      <c r="D9" s="30"/>
      <c r="E9" s="31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22.2" thickTop="1" thickBot="1">
      <c r="A10" s="27" t="s">
        <v>16</v>
      </c>
      <c r="B10" s="28" t="s">
        <v>17</v>
      </c>
      <c r="C10" s="29"/>
      <c r="D10" s="30"/>
      <c r="E10" s="31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22.2" thickTop="1" thickBot="1">
      <c r="A11" s="27" t="s">
        <v>18</v>
      </c>
      <c r="B11" s="28" t="s">
        <v>19</v>
      </c>
      <c r="C11" s="29"/>
      <c r="D11" s="30"/>
      <c r="E11" s="31"/>
      <c r="AA11">
        <f>IF(C11="Met",1,0)</f>
        <v>0</v>
      </c>
      <c r="AB11">
        <f>IF(C11="Partially Met",1,0)</f>
        <v>0</v>
      </c>
      <c r="AC11">
        <f>IF(C11="UnMet",1,0)</f>
        <v>0</v>
      </c>
      <c r="AD11">
        <f>IF(C11="Not Applicable",1,0)</f>
        <v>0</v>
      </c>
    </row>
    <row r="12" spans="1:32" ht="22.2" thickTop="1" thickBot="1">
      <c r="A12" s="32" t="s">
        <v>20</v>
      </c>
      <c r="B12" s="33" t="s">
        <v>21</v>
      </c>
      <c r="C12" s="34"/>
      <c r="D12" s="35"/>
      <c r="E12" s="36"/>
    </row>
    <row r="13" spans="1:32" ht="22.2" thickTop="1" thickBot="1">
      <c r="A13" s="32"/>
      <c r="B13" s="37" t="s">
        <v>22</v>
      </c>
      <c r="C13" s="29"/>
      <c r="D13" s="30"/>
      <c r="E13" s="31"/>
      <c r="AA13">
        <f t="shared" ref="AA13:AA26" si="0">IF(C13="Met",1,0)</f>
        <v>0</v>
      </c>
      <c r="AB13">
        <f t="shared" ref="AB13:AB26" si="1">IF(C13="Partially Met",1,0)</f>
        <v>0</v>
      </c>
      <c r="AC13">
        <f t="shared" ref="AC13:AC26" si="2">IF(C13="UnMet",1,0)</f>
        <v>0</v>
      </c>
      <c r="AD13">
        <f t="shared" ref="AD13:AD26" si="3">IF(C13="Not Applicable",1,0)</f>
        <v>0</v>
      </c>
    </row>
    <row r="14" spans="1:32" ht="22.2" thickTop="1" thickBot="1">
      <c r="A14" s="32"/>
      <c r="B14" s="37" t="s">
        <v>23</v>
      </c>
      <c r="C14" s="29"/>
      <c r="D14" s="30"/>
      <c r="E14" s="31"/>
      <c r="AA14">
        <f t="shared" si="0"/>
        <v>0</v>
      </c>
      <c r="AB14">
        <f t="shared" si="1"/>
        <v>0</v>
      </c>
      <c r="AC14">
        <f t="shared" si="2"/>
        <v>0</v>
      </c>
      <c r="AD14">
        <f t="shared" si="3"/>
        <v>0</v>
      </c>
    </row>
    <row r="15" spans="1:32" ht="22.2" thickTop="1" thickBot="1">
      <c r="A15" s="32"/>
      <c r="B15" s="37" t="s">
        <v>24</v>
      </c>
      <c r="C15" s="29"/>
      <c r="D15" s="30"/>
      <c r="E15" s="31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22.2" thickTop="1" thickBot="1">
      <c r="A16" s="32"/>
      <c r="B16" s="37" t="s">
        <v>25</v>
      </c>
      <c r="C16" s="29"/>
      <c r="D16" s="30"/>
      <c r="E16" s="31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22.2" thickTop="1" thickBot="1">
      <c r="A17" s="32"/>
      <c r="B17" s="37" t="s">
        <v>26</v>
      </c>
      <c r="C17" s="29"/>
      <c r="D17" s="30"/>
      <c r="E17" s="31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22.2" thickTop="1" thickBot="1">
      <c r="A18" s="32"/>
      <c r="B18" s="37" t="s">
        <v>27</v>
      </c>
      <c r="C18" s="29"/>
      <c r="D18" s="30"/>
      <c r="E18" s="31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22.2" thickTop="1" thickBot="1">
      <c r="A19" s="32"/>
      <c r="B19" s="37" t="s">
        <v>28</v>
      </c>
      <c r="C19" s="29"/>
      <c r="D19" s="30"/>
      <c r="E19" s="31"/>
      <c r="AA19">
        <f t="shared" si="0"/>
        <v>0</v>
      </c>
      <c r="AB19">
        <f t="shared" si="1"/>
        <v>0</v>
      </c>
      <c r="AC19">
        <f t="shared" si="2"/>
        <v>0</v>
      </c>
      <c r="AD19">
        <f t="shared" si="3"/>
        <v>0</v>
      </c>
    </row>
    <row r="20" spans="1:32" ht="22.2" thickTop="1" thickBot="1">
      <c r="A20" s="32"/>
      <c r="B20" s="37" t="s">
        <v>29</v>
      </c>
      <c r="C20" s="29"/>
      <c r="D20" s="30"/>
      <c r="E20" s="31"/>
      <c r="AA20">
        <f t="shared" si="0"/>
        <v>0</v>
      </c>
      <c r="AB20">
        <f t="shared" si="1"/>
        <v>0</v>
      </c>
      <c r="AC20">
        <f t="shared" si="2"/>
        <v>0</v>
      </c>
      <c r="AD20">
        <f t="shared" si="3"/>
        <v>0</v>
      </c>
    </row>
    <row r="21" spans="1:32" ht="22.2" thickTop="1" thickBot="1">
      <c r="A21" s="32"/>
      <c r="B21" s="37" t="s">
        <v>30</v>
      </c>
      <c r="C21" s="29"/>
      <c r="D21" s="30"/>
      <c r="E21" s="31"/>
      <c r="AA21">
        <f t="shared" si="0"/>
        <v>0</v>
      </c>
      <c r="AB21">
        <f t="shared" si="1"/>
        <v>0</v>
      </c>
      <c r="AC21">
        <f t="shared" si="2"/>
        <v>0</v>
      </c>
      <c r="AD21">
        <f t="shared" si="3"/>
        <v>0</v>
      </c>
    </row>
    <row r="22" spans="1:32" ht="22.2" thickTop="1" thickBot="1">
      <c r="A22" s="32"/>
      <c r="B22" s="37" t="s">
        <v>31</v>
      </c>
      <c r="C22" s="29"/>
      <c r="D22" s="30"/>
      <c r="E22" s="31"/>
      <c r="AA22">
        <f t="shared" si="0"/>
        <v>0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2" ht="22.2" thickTop="1" thickBot="1">
      <c r="A23" s="32"/>
      <c r="B23" s="37" t="s">
        <v>32</v>
      </c>
      <c r="C23" s="29"/>
      <c r="D23" s="30"/>
      <c r="E23" s="31"/>
      <c r="AA23">
        <f t="shared" si="0"/>
        <v>0</v>
      </c>
      <c r="AB23">
        <f t="shared" si="1"/>
        <v>0</v>
      </c>
      <c r="AC23">
        <f t="shared" si="2"/>
        <v>0</v>
      </c>
      <c r="AD23">
        <f t="shared" si="3"/>
        <v>0</v>
      </c>
    </row>
    <row r="24" spans="1:32" ht="22.2" thickTop="1" thickBot="1">
      <c r="A24" s="32"/>
      <c r="B24" s="37" t="s">
        <v>33</v>
      </c>
      <c r="C24" s="29"/>
      <c r="D24" s="30"/>
      <c r="E24" s="31"/>
      <c r="AA24">
        <f t="shared" si="0"/>
        <v>0</v>
      </c>
      <c r="AB24">
        <f t="shared" si="1"/>
        <v>0</v>
      </c>
      <c r="AC24">
        <f t="shared" si="2"/>
        <v>0</v>
      </c>
      <c r="AD24">
        <f t="shared" si="3"/>
        <v>0</v>
      </c>
    </row>
    <row r="25" spans="1:32" ht="22.2" thickTop="1" thickBot="1">
      <c r="A25" s="27" t="s">
        <v>34</v>
      </c>
      <c r="B25" s="38" t="s">
        <v>35</v>
      </c>
      <c r="C25" s="29"/>
      <c r="D25" s="30"/>
      <c r="E25" s="31"/>
      <c r="AA25">
        <f t="shared" si="0"/>
        <v>0</v>
      </c>
      <c r="AB25">
        <f t="shared" si="1"/>
        <v>0</v>
      </c>
      <c r="AC25">
        <f t="shared" si="2"/>
        <v>0</v>
      </c>
      <c r="AD25">
        <f t="shared" si="3"/>
        <v>0</v>
      </c>
    </row>
    <row r="26" spans="1:32" ht="22.2" thickTop="1" thickBot="1">
      <c r="A26" s="27" t="s">
        <v>36</v>
      </c>
      <c r="B26" s="38" t="s">
        <v>37</v>
      </c>
      <c r="C26" s="29"/>
      <c r="D26" s="30"/>
      <c r="E26" s="31"/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32" ht="69.75" customHeight="1" thickTop="1" thickBot="1">
      <c r="A27" s="39" t="s">
        <v>38</v>
      </c>
      <c r="B27" s="40" t="s">
        <v>39</v>
      </c>
      <c r="C27" s="24" t="s">
        <v>40</v>
      </c>
      <c r="D27" s="25"/>
      <c r="E27" s="26" t="str">
        <f>"Quotation: "&amp;ROUND((AE27/AF27)*100,2)&amp;"%"</f>
        <v>Quotation: 0%</v>
      </c>
      <c r="AE27">
        <f>SUM(AA28:AA31)+SUM(AB28:AB31)*0.5</f>
        <v>0</v>
      </c>
      <c r="AF27">
        <f>COUNT(AA28:AA31)-SUM(AD28:AD31)</f>
        <v>4</v>
      </c>
    </row>
    <row r="28" spans="1:32" ht="37.200000000000003" thickTop="1" thickBot="1">
      <c r="A28" s="41" t="s">
        <v>41</v>
      </c>
      <c r="B28" s="38" t="s">
        <v>42</v>
      </c>
      <c r="C28" s="29"/>
      <c r="D28" s="30"/>
      <c r="E28" s="31"/>
      <c r="AA28">
        <f>IF(C28="Met",1,0)</f>
        <v>0</v>
      </c>
      <c r="AB28">
        <f>IF(C28="Partially Met",1,0)</f>
        <v>0</v>
      </c>
      <c r="AC28">
        <f>IF(C28="UnMet",1,0)</f>
        <v>0</v>
      </c>
      <c r="AD28">
        <f>IF(C28="Not Applicable",1,0)</f>
        <v>0</v>
      </c>
    </row>
    <row r="29" spans="1:32" ht="22.2" thickTop="1" thickBot="1">
      <c r="A29" s="41" t="s">
        <v>43</v>
      </c>
      <c r="B29" s="38" t="s">
        <v>44</v>
      </c>
      <c r="C29" s="29"/>
      <c r="D29" s="30"/>
      <c r="E29" s="31"/>
      <c r="AA29">
        <f>IF(C29="Met",1,0)</f>
        <v>0</v>
      </c>
      <c r="AB29">
        <f>IF(C29="Partially Met",1,0)</f>
        <v>0</v>
      </c>
      <c r="AC29">
        <f>IF(C29="UnMet",1,0)</f>
        <v>0</v>
      </c>
      <c r="AD29">
        <f>IF(C29="Not Applicable",1,0)</f>
        <v>0</v>
      </c>
    </row>
    <row r="30" spans="1:32" ht="22.2" thickTop="1" thickBot="1">
      <c r="A30" s="41" t="s">
        <v>45</v>
      </c>
      <c r="B30" s="38" t="s">
        <v>46</v>
      </c>
      <c r="C30" s="29"/>
      <c r="D30" s="30"/>
      <c r="E30" s="31"/>
      <c r="AA30">
        <f>IF(C30="Met",1,0)</f>
        <v>0</v>
      </c>
      <c r="AB30">
        <f>IF(C30="Partially Met",1,0)</f>
        <v>0</v>
      </c>
      <c r="AC30">
        <f>IF(C30="UnMet",1,0)</f>
        <v>0</v>
      </c>
      <c r="AD30">
        <f>IF(C30="Not Applicable",1,0)</f>
        <v>0</v>
      </c>
    </row>
    <row r="31" spans="1:32" ht="22.2" thickTop="1" thickBot="1">
      <c r="A31" s="41" t="s">
        <v>47</v>
      </c>
      <c r="B31" s="38" t="s">
        <v>48</v>
      </c>
      <c r="C31" s="29"/>
      <c r="D31" s="30"/>
      <c r="E31" s="31"/>
      <c r="AA31">
        <f>IF(C31="Met",1,0)</f>
        <v>0</v>
      </c>
      <c r="AB31">
        <f>IF(C31="Partially Met",1,0)</f>
        <v>0</v>
      </c>
      <c r="AC31">
        <f>IF(C31="UnMet",1,0)</f>
        <v>0</v>
      </c>
      <c r="AD31">
        <f>IF(C31="Not Applicable",1,0)</f>
        <v>0</v>
      </c>
    </row>
    <row r="32" spans="1:32" ht="78" customHeight="1" thickTop="1" thickBot="1">
      <c r="A32" s="39" t="s">
        <v>49</v>
      </c>
      <c r="B32" s="42" t="s">
        <v>50</v>
      </c>
      <c r="C32" s="24" t="s">
        <v>40</v>
      </c>
      <c r="D32" s="25"/>
      <c r="E32" s="26" t="str">
        <f>"Quotation: "&amp;ROUND((AE32/AF32)*100,2)&amp;"%"</f>
        <v>Quotation: 0%</v>
      </c>
      <c r="AE32">
        <f>SUM(AA33:AA36)+SUM(AB33:AB36)*0.5</f>
        <v>0</v>
      </c>
      <c r="AF32">
        <f>COUNT(AA33:AA36)-SUM(AD33:AD36)</f>
        <v>4</v>
      </c>
    </row>
    <row r="33" spans="1:32" ht="73.2" thickTop="1" thickBot="1">
      <c r="A33" s="41" t="s">
        <v>51</v>
      </c>
      <c r="B33" s="28" t="s">
        <v>52</v>
      </c>
      <c r="C33" s="29"/>
      <c r="D33" s="30"/>
      <c r="E33" s="31"/>
      <c r="AA33">
        <f>IF(C33="Met",1,0)</f>
        <v>0</v>
      </c>
      <c r="AB33">
        <f>IF(C33="Partially Met",1,0)</f>
        <v>0</v>
      </c>
      <c r="AC33">
        <f>IF(C33="UnMet",1,0)</f>
        <v>0</v>
      </c>
      <c r="AD33">
        <f>IF(C33="Not Applicable",1,0)</f>
        <v>0</v>
      </c>
    </row>
    <row r="34" spans="1:32" ht="37.200000000000003" thickTop="1" thickBot="1">
      <c r="A34" s="41" t="s">
        <v>53</v>
      </c>
      <c r="B34" s="28" t="s">
        <v>54</v>
      </c>
      <c r="C34" s="29"/>
      <c r="D34" s="30"/>
      <c r="E34" s="31"/>
      <c r="AA34">
        <f>IF(C34="Met",1,0)</f>
        <v>0</v>
      </c>
      <c r="AB34">
        <f>IF(C34="Partially Met",1,0)</f>
        <v>0</v>
      </c>
      <c r="AC34">
        <f>IF(C34="UnMet",1,0)</f>
        <v>0</v>
      </c>
      <c r="AD34">
        <f>IF(C34="Not Applicable",1,0)</f>
        <v>0</v>
      </c>
    </row>
    <row r="35" spans="1:32" ht="31.5" customHeight="1" thickTop="1" thickBot="1">
      <c r="A35" s="41" t="s">
        <v>55</v>
      </c>
      <c r="B35" s="28" t="s">
        <v>56</v>
      </c>
      <c r="C35" s="29"/>
      <c r="D35" s="30"/>
      <c r="E35" s="31"/>
      <c r="AA35">
        <f>IF(C35="Met",1,0)</f>
        <v>0</v>
      </c>
      <c r="AB35">
        <f>IF(C35="Partially Met",1,0)</f>
        <v>0</v>
      </c>
      <c r="AC35">
        <f>IF(C35="UnMet",1,0)</f>
        <v>0</v>
      </c>
      <c r="AD35">
        <f>IF(C35="Not Applicable",1,0)</f>
        <v>0</v>
      </c>
    </row>
    <row r="36" spans="1:32" ht="39" customHeight="1" thickTop="1" thickBot="1">
      <c r="A36" s="41" t="s">
        <v>57</v>
      </c>
      <c r="B36" s="28" t="s">
        <v>58</v>
      </c>
      <c r="C36" s="29"/>
      <c r="D36" s="30"/>
      <c r="E36" s="31"/>
      <c r="AA36">
        <f>IF(C36="Met",1,0)</f>
        <v>0</v>
      </c>
      <c r="AB36">
        <f>IF(C36="Partially Met",1,0)</f>
        <v>0</v>
      </c>
      <c r="AC36">
        <f>IF(C36="UnMet",1,0)</f>
        <v>0</v>
      </c>
      <c r="AD36">
        <f>IF(C36="Not Applicable",1,0)</f>
        <v>0</v>
      </c>
    </row>
    <row r="37" spans="1:32" ht="79.5" customHeight="1" thickTop="1" thickBot="1">
      <c r="A37" s="43" t="s">
        <v>59</v>
      </c>
      <c r="B37" s="44" t="s">
        <v>60</v>
      </c>
      <c r="C37" s="24" t="s">
        <v>61</v>
      </c>
      <c r="D37" s="25"/>
      <c r="E37" s="26" t="str">
        <f>"Quotation: "&amp;ROUND((AE37/AF37)*100,2)&amp;"%"</f>
        <v>Quotation: 0%</v>
      </c>
      <c r="AE37">
        <f>SUM(AA38:AA49)+SUM(AB38:AB49)*0.5</f>
        <v>0</v>
      </c>
      <c r="AF37">
        <f>COUNT(AA38:AA49)-SUM(AD38:AD49)</f>
        <v>11</v>
      </c>
    </row>
    <row r="38" spans="1:32" ht="46.5" customHeight="1" thickTop="1" thickBot="1">
      <c r="A38" s="27" t="s">
        <v>62</v>
      </c>
      <c r="B38" s="38" t="s">
        <v>63</v>
      </c>
      <c r="C38" s="29"/>
      <c r="D38" s="30"/>
      <c r="E38" s="31"/>
      <c r="AA38">
        <f>IF(C38="Met",1,0)</f>
        <v>0</v>
      </c>
      <c r="AB38">
        <f>IF(C38="Partially Met",1,0)</f>
        <v>0</v>
      </c>
      <c r="AC38">
        <f>IF(C38="UnMet",1,0)</f>
        <v>0</v>
      </c>
      <c r="AD38">
        <f>IF(C38="Not Applicable",1,0)</f>
        <v>0</v>
      </c>
    </row>
    <row r="39" spans="1:32" ht="37.200000000000003" thickTop="1" thickBot="1">
      <c r="A39" s="32" t="s">
        <v>64</v>
      </c>
      <c r="B39" s="45" t="s">
        <v>65</v>
      </c>
      <c r="C39" s="34"/>
      <c r="D39" s="35"/>
      <c r="E39" s="36"/>
    </row>
    <row r="40" spans="1:32" ht="22.2" thickTop="1" thickBot="1">
      <c r="A40" s="32"/>
      <c r="B40" s="38" t="s">
        <v>66</v>
      </c>
      <c r="C40" s="29"/>
      <c r="D40" s="30"/>
      <c r="E40" s="31"/>
      <c r="AA40">
        <f t="shared" ref="AA40:AA49" si="4">IF(C40="Met",1,0)</f>
        <v>0</v>
      </c>
      <c r="AB40">
        <f t="shared" ref="AB40:AB49" si="5">IF(C40="Partially Met",1,0)</f>
        <v>0</v>
      </c>
      <c r="AC40">
        <f t="shared" ref="AC40:AC49" si="6">IF(C40="UnMet",1,0)</f>
        <v>0</v>
      </c>
      <c r="AD40">
        <f t="shared" ref="AD40:AD49" si="7">IF(C40="Not Applicable",1,0)</f>
        <v>0</v>
      </c>
    </row>
    <row r="41" spans="1:32" ht="22.2" thickTop="1" thickBot="1">
      <c r="A41" s="32"/>
      <c r="B41" s="38" t="s">
        <v>67</v>
      </c>
      <c r="C41" s="29"/>
      <c r="D41" s="30"/>
      <c r="E41" s="31"/>
      <c r="AA41">
        <f t="shared" si="4"/>
        <v>0</v>
      </c>
      <c r="AB41">
        <f t="shared" si="5"/>
        <v>0</v>
      </c>
      <c r="AC41">
        <f t="shared" si="6"/>
        <v>0</v>
      </c>
      <c r="AD41">
        <f t="shared" si="7"/>
        <v>0</v>
      </c>
    </row>
    <row r="42" spans="1:32" ht="22.2" thickTop="1" thickBot="1">
      <c r="A42" s="32"/>
      <c r="B42" s="38" t="s">
        <v>68</v>
      </c>
      <c r="C42" s="29"/>
      <c r="D42" s="30"/>
      <c r="E42" s="31"/>
      <c r="AA42">
        <f t="shared" si="4"/>
        <v>0</v>
      </c>
      <c r="AB42">
        <f t="shared" si="5"/>
        <v>0</v>
      </c>
      <c r="AC42">
        <f t="shared" si="6"/>
        <v>0</v>
      </c>
      <c r="AD42">
        <f t="shared" si="7"/>
        <v>0</v>
      </c>
    </row>
    <row r="43" spans="1:32" ht="22.2" thickTop="1" thickBot="1">
      <c r="A43" s="32"/>
      <c r="B43" s="38" t="s">
        <v>69</v>
      </c>
      <c r="C43" s="29"/>
      <c r="D43" s="30"/>
      <c r="E43" s="31"/>
      <c r="AA43">
        <f t="shared" si="4"/>
        <v>0</v>
      </c>
      <c r="AB43">
        <f t="shared" si="5"/>
        <v>0</v>
      </c>
      <c r="AC43">
        <f t="shared" si="6"/>
        <v>0</v>
      </c>
      <c r="AD43">
        <f t="shared" si="7"/>
        <v>0</v>
      </c>
    </row>
    <row r="44" spans="1:32" ht="22.2" thickTop="1" thickBot="1">
      <c r="A44" s="32"/>
      <c r="B44" s="38" t="s">
        <v>70</v>
      </c>
      <c r="C44" s="29"/>
      <c r="D44" s="30"/>
      <c r="E44" s="31"/>
      <c r="AA44">
        <f t="shared" si="4"/>
        <v>0</v>
      </c>
      <c r="AB44">
        <f t="shared" si="5"/>
        <v>0</v>
      </c>
      <c r="AC44">
        <f t="shared" si="6"/>
        <v>0</v>
      </c>
      <c r="AD44">
        <f t="shared" si="7"/>
        <v>0</v>
      </c>
    </row>
    <row r="45" spans="1:32" ht="22.2" thickTop="1" thickBot="1">
      <c r="A45" s="32"/>
      <c r="B45" s="38" t="s">
        <v>71</v>
      </c>
      <c r="C45" s="29"/>
      <c r="D45" s="30"/>
      <c r="E45" s="31"/>
      <c r="AA45">
        <f t="shared" si="4"/>
        <v>0</v>
      </c>
      <c r="AB45">
        <f t="shared" si="5"/>
        <v>0</v>
      </c>
      <c r="AC45">
        <f t="shared" si="6"/>
        <v>0</v>
      </c>
      <c r="AD45">
        <f t="shared" si="7"/>
        <v>0</v>
      </c>
    </row>
    <row r="46" spans="1:32" ht="37.200000000000003" thickTop="1" thickBot="1">
      <c r="A46" s="27" t="s">
        <v>72</v>
      </c>
      <c r="B46" s="28" t="s">
        <v>73</v>
      </c>
      <c r="C46" s="29"/>
      <c r="D46" s="30"/>
      <c r="E46" s="31"/>
      <c r="AA46">
        <f t="shared" si="4"/>
        <v>0</v>
      </c>
      <c r="AB46">
        <f t="shared" si="5"/>
        <v>0</v>
      </c>
      <c r="AC46">
        <f t="shared" si="6"/>
        <v>0</v>
      </c>
      <c r="AD46">
        <f t="shared" si="7"/>
        <v>0</v>
      </c>
    </row>
    <row r="47" spans="1:32" ht="27" customHeight="1" thickTop="1" thickBot="1">
      <c r="A47" s="27" t="s">
        <v>74</v>
      </c>
      <c r="B47" s="28" t="s">
        <v>75</v>
      </c>
      <c r="C47" s="29"/>
      <c r="D47" s="30"/>
      <c r="E47" s="31"/>
      <c r="AA47">
        <f t="shared" si="4"/>
        <v>0</v>
      </c>
      <c r="AB47">
        <f t="shared" si="5"/>
        <v>0</v>
      </c>
      <c r="AC47">
        <f t="shared" si="6"/>
        <v>0</v>
      </c>
      <c r="AD47">
        <f t="shared" si="7"/>
        <v>0</v>
      </c>
    </row>
    <row r="48" spans="1:32" ht="22.2" thickTop="1" thickBot="1">
      <c r="A48" s="27" t="s">
        <v>76</v>
      </c>
      <c r="B48" s="28" t="s">
        <v>77</v>
      </c>
      <c r="C48" s="29"/>
      <c r="D48" s="30"/>
      <c r="E48" s="31"/>
      <c r="AA48">
        <f t="shared" si="4"/>
        <v>0</v>
      </c>
      <c r="AB48">
        <f t="shared" si="5"/>
        <v>0</v>
      </c>
      <c r="AC48">
        <f t="shared" si="6"/>
        <v>0</v>
      </c>
      <c r="AD48">
        <f t="shared" si="7"/>
        <v>0</v>
      </c>
    </row>
    <row r="49" spans="1:32" ht="27.75" customHeight="1" thickTop="1" thickBot="1">
      <c r="A49" s="27" t="s">
        <v>78</v>
      </c>
      <c r="B49" s="28" t="s">
        <v>79</v>
      </c>
      <c r="C49" s="29"/>
      <c r="D49" s="30"/>
      <c r="E49" s="31"/>
      <c r="AA49">
        <f t="shared" si="4"/>
        <v>0</v>
      </c>
      <c r="AB49">
        <f t="shared" si="5"/>
        <v>0</v>
      </c>
      <c r="AC49">
        <f t="shared" si="6"/>
        <v>0</v>
      </c>
      <c r="AD49">
        <f t="shared" si="7"/>
        <v>0</v>
      </c>
    </row>
    <row r="50" spans="1:32" ht="80.25" customHeight="1" thickTop="1" thickBot="1">
      <c r="A50" s="39" t="s">
        <v>80</v>
      </c>
      <c r="B50" s="42" t="s">
        <v>81</v>
      </c>
      <c r="C50" s="24" t="s">
        <v>82</v>
      </c>
      <c r="D50" s="25"/>
      <c r="E50" s="26" t="str">
        <f>"Quotation: "&amp;ROUND((AE50/AF50)*100,2)&amp;"%"</f>
        <v>Quotation: 0%</v>
      </c>
      <c r="AE50">
        <f>SUM(AA51:AA75)+SUM(AB51:AB75)*0.5</f>
        <v>0</v>
      </c>
      <c r="AF50">
        <f>COUNT(AA51:AA75)-SUM(AD51:AD75)</f>
        <v>23</v>
      </c>
    </row>
    <row r="51" spans="1:32" ht="37.200000000000003" thickTop="1" thickBot="1">
      <c r="A51" s="46" t="s">
        <v>83</v>
      </c>
      <c r="B51" s="33" t="s">
        <v>84</v>
      </c>
      <c r="C51" s="34"/>
      <c r="D51" s="35"/>
      <c r="E51" s="36"/>
    </row>
    <row r="52" spans="1:32" ht="37.200000000000003" thickTop="1" thickBot="1">
      <c r="A52" s="46"/>
      <c r="B52" s="47" t="s">
        <v>85</v>
      </c>
      <c r="C52" s="29"/>
      <c r="D52" s="30"/>
      <c r="E52" s="31"/>
      <c r="AA52">
        <f t="shared" ref="AA52:AA65" si="8">IF(C52="Met",1,0)</f>
        <v>0</v>
      </c>
      <c r="AB52">
        <f t="shared" ref="AB52:AB65" si="9">IF(C52="Partially Met",1,0)</f>
        <v>0</v>
      </c>
      <c r="AC52">
        <f t="shared" ref="AC52:AC65" si="10">IF(C52="UnMet",1,0)</f>
        <v>0</v>
      </c>
      <c r="AD52">
        <f t="shared" ref="AD52:AD65" si="11">IF(C52="Not Applicable",1,0)</f>
        <v>0</v>
      </c>
    </row>
    <row r="53" spans="1:32" ht="22.2" thickTop="1" thickBot="1">
      <c r="A53" s="46"/>
      <c r="B53" s="47" t="s">
        <v>86</v>
      </c>
      <c r="C53" s="29"/>
      <c r="D53" s="30"/>
      <c r="E53" s="31"/>
      <c r="AA53">
        <f t="shared" si="8"/>
        <v>0</v>
      </c>
      <c r="AB53">
        <f t="shared" si="9"/>
        <v>0</v>
      </c>
      <c r="AC53">
        <f t="shared" si="10"/>
        <v>0</v>
      </c>
      <c r="AD53">
        <f t="shared" si="11"/>
        <v>0</v>
      </c>
    </row>
    <row r="54" spans="1:32" ht="22.2" thickTop="1" thickBot="1">
      <c r="A54" s="46"/>
      <c r="B54" s="47" t="s">
        <v>87</v>
      </c>
      <c r="C54" s="29"/>
      <c r="D54" s="30"/>
      <c r="E54" s="31"/>
      <c r="AA54">
        <f t="shared" si="8"/>
        <v>0</v>
      </c>
      <c r="AB54">
        <f t="shared" si="9"/>
        <v>0</v>
      </c>
      <c r="AC54">
        <f t="shared" si="10"/>
        <v>0</v>
      </c>
      <c r="AD54">
        <f t="shared" si="11"/>
        <v>0</v>
      </c>
    </row>
    <row r="55" spans="1:32" ht="22.2" thickTop="1" thickBot="1">
      <c r="A55" s="46"/>
      <c r="B55" s="47" t="s">
        <v>88</v>
      </c>
      <c r="C55" s="29"/>
      <c r="D55" s="30"/>
      <c r="E55" s="31"/>
      <c r="AA55">
        <f t="shared" si="8"/>
        <v>0</v>
      </c>
      <c r="AB55">
        <f t="shared" si="9"/>
        <v>0</v>
      </c>
      <c r="AC55">
        <f t="shared" si="10"/>
        <v>0</v>
      </c>
      <c r="AD55">
        <f t="shared" si="11"/>
        <v>0</v>
      </c>
    </row>
    <row r="56" spans="1:32" ht="22.2" thickTop="1" thickBot="1">
      <c r="A56" s="46"/>
      <c r="B56" s="47" t="s">
        <v>89</v>
      </c>
      <c r="C56" s="29"/>
      <c r="D56" s="30"/>
      <c r="E56" s="31"/>
      <c r="AA56">
        <f t="shared" si="8"/>
        <v>0</v>
      </c>
      <c r="AB56">
        <f t="shared" si="9"/>
        <v>0</v>
      </c>
      <c r="AC56">
        <f t="shared" si="10"/>
        <v>0</v>
      </c>
      <c r="AD56">
        <f t="shared" si="11"/>
        <v>0</v>
      </c>
    </row>
    <row r="57" spans="1:32" ht="22.2" thickTop="1" thickBot="1">
      <c r="A57" s="46"/>
      <c r="B57" s="47" t="s">
        <v>90</v>
      </c>
      <c r="C57" s="29"/>
      <c r="D57" s="30"/>
      <c r="E57" s="31"/>
      <c r="AA57">
        <f t="shared" si="8"/>
        <v>0</v>
      </c>
      <c r="AB57">
        <f t="shared" si="9"/>
        <v>0</v>
      </c>
      <c r="AC57">
        <f t="shared" si="10"/>
        <v>0</v>
      </c>
      <c r="AD57">
        <f t="shared" si="11"/>
        <v>0</v>
      </c>
    </row>
    <row r="58" spans="1:32" ht="22.2" thickTop="1" thickBot="1">
      <c r="A58" s="46"/>
      <c r="B58" s="47" t="s">
        <v>91</v>
      </c>
      <c r="C58" s="29"/>
      <c r="D58" s="30"/>
      <c r="E58" s="31"/>
      <c r="AA58">
        <f t="shared" si="8"/>
        <v>0</v>
      </c>
      <c r="AB58">
        <f t="shared" si="9"/>
        <v>0</v>
      </c>
      <c r="AC58">
        <f t="shared" si="10"/>
        <v>0</v>
      </c>
      <c r="AD58">
        <f t="shared" si="11"/>
        <v>0</v>
      </c>
    </row>
    <row r="59" spans="1:32" ht="22.2" thickTop="1" thickBot="1">
      <c r="A59" s="46"/>
      <c r="B59" s="47" t="s">
        <v>92</v>
      </c>
      <c r="C59" s="29"/>
      <c r="D59" s="30"/>
      <c r="E59" s="31"/>
      <c r="AA59">
        <f t="shared" si="8"/>
        <v>0</v>
      </c>
      <c r="AB59">
        <f t="shared" si="9"/>
        <v>0</v>
      </c>
      <c r="AC59">
        <f t="shared" si="10"/>
        <v>0</v>
      </c>
      <c r="AD59">
        <f t="shared" si="11"/>
        <v>0</v>
      </c>
    </row>
    <row r="60" spans="1:32" ht="22.2" thickTop="1" thickBot="1">
      <c r="A60" s="46"/>
      <c r="B60" s="47" t="s">
        <v>93</v>
      </c>
      <c r="C60" s="29"/>
      <c r="D60" s="30"/>
      <c r="E60" s="31"/>
      <c r="AA60">
        <f t="shared" si="8"/>
        <v>0</v>
      </c>
      <c r="AB60">
        <f t="shared" si="9"/>
        <v>0</v>
      </c>
      <c r="AC60">
        <f t="shared" si="10"/>
        <v>0</v>
      </c>
      <c r="AD60">
        <f t="shared" si="11"/>
        <v>0</v>
      </c>
    </row>
    <row r="61" spans="1:32" ht="22.2" thickTop="1" thickBot="1">
      <c r="A61" s="46"/>
      <c r="B61" s="47" t="s">
        <v>94</v>
      </c>
      <c r="C61" s="29"/>
      <c r="D61" s="30"/>
      <c r="E61" s="31"/>
      <c r="AA61">
        <f t="shared" si="8"/>
        <v>0</v>
      </c>
      <c r="AB61">
        <f t="shared" si="9"/>
        <v>0</v>
      </c>
      <c r="AC61">
        <f t="shared" si="10"/>
        <v>0</v>
      </c>
      <c r="AD61">
        <f t="shared" si="11"/>
        <v>0</v>
      </c>
    </row>
    <row r="62" spans="1:32" ht="22.2" thickTop="1" thickBot="1">
      <c r="A62" s="46"/>
      <c r="B62" s="47" t="s">
        <v>95</v>
      </c>
      <c r="C62" s="29"/>
      <c r="D62" s="30"/>
      <c r="E62" s="31"/>
      <c r="AA62">
        <f t="shared" si="8"/>
        <v>0</v>
      </c>
      <c r="AB62">
        <f t="shared" si="9"/>
        <v>0</v>
      </c>
      <c r="AC62">
        <f t="shared" si="10"/>
        <v>0</v>
      </c>
      <c r="AD62">
        <f t="shared" si="11"/>
        <v>0</v>
      </c>
    </row>
    <row r="63" spans="1:32" ht="22.2" thickTop="1" thickBot="1">
      <c r="A63" s="46"/>
      <c r="B63" s="47" t="s">
        <v>96</v>
      </c>
      <c r="C63" s="29"/>
      <c r="D63" s="30"/>
      <c r="E63" s="31"/>
      <c r="AA63">
        <f t="shared" si="8"/>
        <v>0</v>
      </c>
      <c r="AB63">
        <f t="shared" si="9"/>
        <v>0</v>
      </c>
      <c r="AC63">
        <f t="shared" si="10"/>
        <v>0</v>
      </c>
      <c r="AD63">
        <f t="shared" si="11"/>
        <v>0</v>
      </c>
    </row>
    <row r="64" spans="1:32" ht="22.2" thickTop="1" thickBot="1">
      <c r="A64" s="46"/>
      <c r="B64" s="47" t="s">
        <v>97</v>
      </c>
      <c r="C64" s="29"/>
      <c r="D64" s="30"/>
      <c r="E64" s="31"/>
      <c r="AA64">
        <f t="shared" si="8"/>
        <v>0</v>
      </c>
      <c r="AB64">
        <f t="shared" si="9"/>
        <v>0</v>
      </c>
      <c r="AC64">
        <f t="shared" si="10"/>
        <v>0</v>
      </c>
      <c r="AD64">
        <f t="shared" si="11"/>
        <v>0</v>
      </c>
    </row>
    <row r="65" spans="1:32" ht="22.2" thickTop="1" thickBot="1">
      <c r="A65" s="41" t="s">
        <v>98</v>
      </c>
      <c r="B65" s="38" t="s">
        <v>99</v>
      </c>
      <c r="C65" s="29"/>
      <c r="D65" s="30"/>
      <c r="E65" s="31"/>
      <c r="AA65">
        <f t="shared" si="8"/>
        <v>0</v>
      </c>
      <c r="AB65">
        <f t="shared" si="9"/>
        <v>0</v>
      </c>
      <c r="AC65">
        <f t="shared" si="10"/>
        <v>0</v>
      </c>
      <c r="AD65">
        <f t="shared" si="11"/>
        <v>0</v>
      </c>
    </row>
    <row r="66" spans="1:32" ht="36" thickTop="1" thickBot="1">
      <c r="A66" s="46" t="s">
        <v>100</v>
      </c>
      <c r="B66" s="48" t="s">
        <v>101</v>
      </c>
      <c r="C66" s="34"/>
      <c r="D66" s="35"/>
      <c r="E66" s="36"/>
    </row>
    <row r="67" spans="1:32" ht="22.2" thickTop="1" thickBot="1">
      <c r="A67" s="46"/>
      <c r="B67" s="47" t="s">
        <v>89</v>
      </c>
      <c r="C67" s="29"/>
      <c r="D67" s="30"/>
      <c r="E67" s="31"/>
      <c r="AA67">
        <f t="shared" ref="AA67:AA75" si="12">IF(C67="Met",1,0)</f>
        <v>0</v>
      </c>
      <c r="AB67">
        <f t="shared" ref="AB67:AB75" si="13">IF(C67="Partially Met",1,0)</f>
        <v>0</v>
      </c>
      <c r="AC67">
        <f t="shared" ref="AC67:AC75" si="14">IF(C67="UnMet",1,0)</f>
        <v>0</v>
      </c>
      <c r="AD67">
        <f t="shared" ref="AD67:AD75" si="15">IF(C67="Not Applicable",1,0)</f>
        <v>0</v>
      </c>
    </row>
    <row r="68" spans="1:32" ht="22.2" thickTop="1" thickBot="1">
      <c r="A68" s="46"/>
      <c r="B68" s="47" t="s">
        <v>102</v>
      </c>
      <c r="C68" s="29"/>
      <c r="D68" s="30"/>
      <c r="E68" s="31"/>
      <c r="AA68">
        <f t="shared" si="12"/>
        <v>0</v>
      </c>
      <c r="AB68">
        <f t="shared" si="13"/>
        <v>0</v>
      </c>
      <c r="AC68">
        <f t="shared" si="14"/>
        <v>0</v>
      </c>
      <c r="AD68">
        <f t="shared" si="15"/>
        <v>0</v>
      </c>
    </row>
    <row r="69" spans="1:32" ht="22.2" thickTop="1" thickBot="1">
      <c r="A69" s="46"/>
      <c r="B69" s="47" t="s">
        <v>103</v>
      </c>
      <c r="C69" s="29"/>
      <c r="D69" s="30"/>
      <c r="E69" s="31"/>
      <c r="AA69">
        <f t="shared" si="12"/>
        <v>0</v>
      </c>
      <c r="AB69">
        <f t="shared" si="13"/>
        <v>0</v>
      </c>
      <c r="AC69">
        <f t="shared" si="14"/>
        <v>0</v>
      </c>
      <c r="AD69">
        <f t="shared" si="15"/>
        <v>0</v>
      </c>
    </row>
    <row r="70" spans="1:32" ht="22.2" thickTop="1" thickBot="1">
      <c r="A70" s="46"/>
      <c r="B70" s="47" t="s">
        <v>104</v>
      </c>
      <c r="C70" s="29"/>
      <c r="D70" s="30"/>
      <c r="E70" s="31"/>
      <c r="AA70">
        <f t="shared" si="12"/>
        <v>0</v>
      </c>
      <c r="AB70">
        <f t="shared" si="13"/>
        <v>0</v>
      </c>
      <c r="AC70">
        <f t="shared" si="14"/>
        <v>0</v>
      </c>
      <c r="AD70">
        <f t="shared" si="15"/>
        <v>0</v>
      </c>
    </row>
    <row r="71" spans="1:32" ht="22.2" thickTop="1" thickBot="1">
      <c r="A71" s="46"/>
      <c r="B71" s="47" t="s">
        <v>105</v>
      </c>
      <c r="C71" s="29"/>
      <c r="D71" s="30"/>
      <c r="E71" s="31"/>
      <c r="AA71">
        <f t="shared" si="12"/>
        <v>0</v>
      </c>
      <c r="AB71">
        <f t="shared" si="13"/>
        <v>0</v>
      </c>
      <c r="AC71">
        <f t="shared" si="14"/>
        <v>0</v>
      </c>
      <c r="AD71">
        <f t="shared" si="15"/>
        <v>0</v>
      </c>
    </row>
    <row r="72" spans="1:32" ht="22.2" thickTop="1" thickBot="1">
      <c r="A72" s="46"/>
      <c r="B72" s="47" t="s">
        <v>106</v>
      </c>
      <c r="C72" s="29"/>
      <c r="D72" s="30"/>
      <c r="E72" s="31"/>
      <c r="AA72">
        <f t="shared" si="12"/>
        <v>0</v>
      </c>
      <c r="AB72">
        <f t="shared" si="13"/>
        <v>0</v>
      </c>
      <c r="AC72">
        <f t="shared" si="14"/>
        <v>0</v>
      </c>
      <c r="AD72">
        <f t="shared" si="15"/>
        <v>0</v>
      </c>
    </row>
    <row r="73" spans="1:32" ht="22.2" thickTop="1" thickBot="1">
      <c r="A73" s="46"/>
      <c r="B73" s="47" t="s">
        <v>107</v>
      </c>
      <c r="C73" s="29"/>
      <c r="D73" s="30"/>
      <c r="E73" s="31"/>
      <c r="AA73">
        <f t="shared" si="12"/>
        <v>0</v>
      </c>
      <c r="AB73">
        <f t="shared" si="13"/>
        <v>0</v>
      </c>
      <c r="AC73">
        <f t="shared" si="14"/>
        <v>0</v>
      </c>
      <c r="AD73">
        <f t="shared" si="15"/>
        <v>0</v>
      </c>
    </row>
    <row r="74" spans="1:32" ht="22.2" thickTop="1" thickBot="1">
      <c r="A74" s="46"/>
      <c r="B74" s="47" t="s">
        <v>108</v>
      </c>
      <c r="C74" s="29"/>
      <c r="D74" s="30"/>
      <c r="E74" s="31"/>
      <c r="AA74">
        <f t="shared" si="12"/>
        <v>0</v>
      </c>
      <c r="AB74">
        <f t="shared" si="13"/>
        <v>0</v>
      </c>
      <c r="AC74">
        <f t="shared" si="14"/>
        <v>0</v>
      </c>
      <c r="AD74">
        <f t="shared" si="15"/>
        <v>0</v>
      </c>
    </row>
    <row r="75" spans="1:32" ht="22.2" thickTop="1" thickBot="1">
      <c r="A75" s="41" t="s">
        <v>109</v>
      </c>
      <c r="B75" s="38" t="s">
        <v>110</v>
      </c>
      <c r="C75" s="29"/>
      <c r="D75" s="30"/>
      <c r="E75" s="31"/>
      <c r="AA75">
        <f t="shared" si="12"/>
        <v>0</v>
      </c>
      <c r="AB75">
        <f t="shared" si="13"/>
        <v>0</v>
      </c>
      <c r="AC75">
        <f t="shared" si="14"/>
        <v>0</v>
      </c>
      <c r="AD75">
        <f t="shared" si="15"/>
        <v>0</v>
      </c>
    </row>
    <row r="76" spans="1:32" ht="79.5" customHeight="1" thickTop="1" thickBot="1">
      <c r="A76" s="39" t="s">
        <v>111</v>
      </c>
      <c r="B76" s="49" t="s">
        <v>112</v>
      </c>
      <c r="C76" s="24" t="s">
        <v>113</v>
      </c>
      <c r="D76" s="25"/>
      <c r="E76" s="26" t="str">
        <f>"Quotation: "&amp;ROUND((AE76/AF76)*100,2)&amp;"%"</f>
        <v>Quotation: 0%</v>
      </c>
      <c r="AE76">
        <f>SUM(AA77:AA101)+SUM(AB77:AB101)*0.5</f>
        <v>0</v>
      </c>
      <c r="AF76">
        <f>COUNT(AA77:AA101)-SUM(AD77:AD101)</f>
        <v>24</v>
      </c>
    </row>
    <row r="77" spans="1:32" ht="22.2" thickTop="1" thickBot="1">
      <c r="A77" s="46" t="s">
        <v>114</v>
      </c>
      <c r="B77" s="33" t="s">
        <v>115</v>
      </c>
      <c r="C77" s="34"/>
      <c r="D77" s="35"/>
      <c r="E77" s="36"/>
    </row>
    <row r="78" spans="1:32" ht="22.2" thickTop="1" thickBot="1">
      <c r="A78" s="46"/>
      <c r="B78" s="37" t="s">
        <v>116</v>
      </c>
      <c r="C78" s="29"/>
      <c r="D78" s="30"/>
      <c r="E78" s="31"/>
      <c r="AA78">
        <f t="shared" ref="AA78:AA101" si="16">IF(C78="Met",1,0)</f>
        <v>0</v>
      </c>
      <c r="AB78">
        <f t="shared" ref="AB78:AB101" si="17">IF(C78="Partially Met",1,0)</f>
        <v>0</v>
      </c>
      <c r="AC78">
        <f t="shared" ref="AC78:AC101" si="18">IF(C78="UnMet",1,0)</f>
        <v>0</v>
      </c>
      <c r="AD78">
        <f t="shared" ref="AD78:AD101" si="19">IF(C78="Not Applicable",1,0)</f>
        <v>0</v>
      </c>
    </row>
    <row r="79" spans="1:32" ht="22.2" thickTop="1" thickBot="1">
      <c r="A79" s="46"/>
      <c r="B79" s="37" t="s">
        <v>117</v>
      </c>
      <c r="C79" s="29"/>
      <c r="D79" s="30"/>
      <c r="E79" s="31"/>
      <c r="AA79">
        <f t="shared" si="16"/>
        <v>0</v>
      </c>
      <c r="AB79">
        <f t="shared" si="17"/>
        <v>0</v>
      </c>
      <c r="AC79">
        <f t="shared" si="18"/>
        <v>0</v>
      </c>
      <c r="AD79">
        <f t="shared" si="19"/>
        <v>0</v>
      </c>
    </row>
    <row r="80" spans="1:32" ht="22.2" thickTop="1" thickBot="1">
      <c r="A80" s="46"/>
      <c r="B80" s="37" t="s">
        <v>118</v>
      </c>
      <c r="C80" s="29"/>
      <c r="D80" s="30"/>
      <c r="E80" s="31"/>
      <c r="AA80">
        <f t="shared" si="16"/>
        <v>0</v>
      </c>
      <c r="AB80">
        <f t="shared" si="17"/>
        <v>0</v>
      </c>
      <c r="AC80">
        <f t="shared" si="18"/>
        <v>0</v>
      </c>
      <c r="AD80">
        <f t="shared" si="19"/>
        <v>0</v>
      </c>
    </row>
    <row r="81" spans="1:30" ht="22.2" thickTop="1" thickBot="1">
      <c r="A81" s="46"/>
      <c r="B81" s="37" t="s">
        <v>119</v>
      </c>
      <c r="C81" s="29"/>
      <c r="D81" s="30"/>
      <c r="E81" s="31"/>
      <c r="AA81">
        <f t="shared" si="16"/>
        <v>0</v>
      </c>
      <c r="AB81">
        <f t="shared" si="17"/>
        <v>0</v>
      </c>
      <c r="AC81">
        <f t="shared" si="18"/>
        <v>0</v>
      </c>
      <c r="AD81">
        <f t="shared" si="19"/>
        <v>0</v>
      </c>
    </row>
    <row r="82" spans="1:30" ht="22.2" thickTop="1" thickBot="1">
      <c r="A82" s="46"/>
      <c r="B82" s="37" t="s">
        <v>120</v>
      </c>
      <c r="C82" s="29"/>
      <c r="D82" s="30"/>
      <c r="E82" s="31"/>
      <c r="AA82">
        <f t="shared" si="16"/>
        <v>0</v>
      </c>
      <c r="AB82">
        <f t="shared" si="17"/>
        <v>0</v>
      </c>
      <c r="AC82">
        <f t="shared" si="18"/>
        <v>0</v>
      </c>
      <c r="AD82">
        <f t="shared" si="19"/>
        <v>0</v>
      </c>
    </row>
    <row r="83" spans="1:30" ht="22.2" thickTop="1" thickBot="1">
      <c r="A83" s="46"/>
      <c r="B83" s="37" t="s">
        <v>121</v>
      </c>
      <c r="C83" s="29"/>
      <c r="D83" s="30"/>
      <c r="E83" s="31"/>
      <c r="AA83">
        <f t="shared" si="16"/>
        <v>0</v>
      </c>
      <c r="AB83">
        <f t="shared" si="17"/>
        <v>0</v>
      </c>
      <c r="AC83">
        <f t="shared" si="18"/>
        <v>0</v>
      </c>
      <c r="AD83">
        <f t="shared" si="19"/>
        <v>0</v>
      </c>
    </row>
    <row r="84" spans="1:30" ht="22.2" thickTop="1" thickBot="1">
      <c r="A84" s="46"/>
      <c r="B84" s="37" t="s">
        <v>122</v>
      </c>
      <c r="C84" s="29"/>
      <c r="D84" s="30"/>
      <c r="E84" s="31"/>
      <c r="AA84">
        <f t="shared" si="16"/>
        <v>0</v>
      </c>
      <c r="AB84">
        <f t="shared" si="17"/>
        <v>0</v>
      </c>
      <c r="AC84">
        <f t="shared" si="18"/>
        <v>0</v>
      </c>
      <c r="AD84">
        <f t="shared" si="19"/>
        <v>0</v>
      </c>
    </row>
    <row r="85" spans="1:30" ht="37.200000000000003" thickTop="1" thickBot="1">
      <c r="A85" s="46"/>
      <c r="B85" s="37" t="s">
        <v>123</v>
      </c>
      <c r="C85" s="29"/>
      <c r="D85" s="30"/>
      <c r="E85" s="31"/>
      <c r="AA85">
        <f t="shared" si="16"/>
        <v>0</v>
      </c>
      <c r="AB85">
        <f t="shared" si="17"/>
        <v>0</v>
      </c>
      <c r="AC85">
        <f t="shared" si="18"/>
        <v>0</v>
      </c>
      <c r="AD85">
        <f t="shared" si="19"/>
        <v>0</v>
      </c>
    </row>
    <row r="86" spans="1:30" ht="22.2" thickTop="1" thickBot="1">
      <c r="A86" s="46"/>
      <c r="B86" s="37" t="s">
        <v>124</v>
      </c>
      <c r="C86" s="29"/>
      <c r="D86" s="30"/>
      <c r="E86" s="31"/>
      <c r="AA86">
        <f t="shared" si="16"/>
        <v>0</v>
      </c>
      <c r="AB86">
        <f t="shared" si="17"/>
        <v>0</v>
      </c>
      <c r="AC86">
        <f t="shared" si="18"/>
        <v>0</v>
      </c>
      <c r="AD86">
        <f t="shared" si="19"/>
        <v>0</v>
      </c>
    </row>
    <row r="87" spans="1:30" ht="22.2" thickTop="1" thickBot="1">
      <c r="A87" s="46"/>
      <c r="B87" s="37" t="s">
        <v>125</v>
      </c>
      <c r="C87" s="29"/>
      <c r="D87" s="30"/>
      <c r="E87" s="31"/>
      <c r="AA87">
        <f t="shared" si="16"/>
        <v>0</v>
      </c>
      <c r="AB87">
        <f t="shared" si="17"/>
        <v>0</v>
      </c>
      <c r="AC87">
        <f t="shared" si="18"/>
        <v>0</v>
      </c>
      <c r="AD87">
        <f t="shared" si="19"/>
        <v>0</v>
      </c>
    </row>
    <row r="88" spans="1:30" ht="37.200000000000003" thickTop="1" thickBot="1">
      <c r="A88" s="46"/>
      <c r="B88" s="37" t="s">
        <v>126</v>
      </c>
      <c r="C88" s="29"/>
      <c r="D88" s="30"/>
      <c r="E88" s="31"/>
      <c r="AA88">
        <f t="shared" si="16"/>
        <v>0</v>
      </c>
      <c r="AB88">
        <f t="shared" si="17"/>
        <v>0</v>
      </c>
      <c r="AC88">
        <f t="shared" si="18"/>
        <v>0</v>
      </c>
      <c r="AD88">
        <f t="shared" si="19"/>
        <v>0</v>
      </c>
    </row>
    <row r="89" spans="1:30" ht="22.2" thickTop="1" thickBot="1">
      <c r="A89" s="46"/>
      <c r="B89" s="37" t="s">
        <v>127</v>
      </c>
      <c r="C89" s="29"/>
      <c r="D89" s="30"/>
      <c r="E89" s="31"/>
      <c r="AA89">
        <f t="shared" si="16"/>
        <v>0</v>
      </c>
      <c r="AB89">
        <f t="shared" si="17"/>
        <v>0</v>
      </c>
      <c r="AC89">
        <f t="shared" si="18"/>
        <v>0</v>
      </c>
      <c r="AD89">
        <f t="shared" si="19"/>
        <v>0</v>
      </c>
    </row>
    <row r="90" spans="1:30" ht="22.2" thickTop="1" thickBot="1">
      <c r="A90" s="46"/>
      <c r="B90" s="37" t="s">
        <v>128</v>
      </c>
      <c r="C90" s="29"/>
      <c r="D90" s="30"/>
      <c r="E90" s="31"/>
      <c r="AA90">
        <f t="shared" si="16"/>
        <v>0</v>
      </c>
      <c r="AB90">
        <f t="shared" si="17"/>
        <v>0</v>
      </c>
      <c r="AC90">
        <f t="shared" si="18"/>
        <v>0</v>
      </c>
      <c r="AD90">
        <f t="shared" si="19"/>
        <v>0</v>
      </c>
    </row>
    <row r="91" spans="1:30" ht="22.2" thickTop="1" thickBot="1">
      <c r="A91" s="46"/>
      <c r="B91" s="37" t="s">
        <v>129</v>
      </c>
      <c r="C91" s="29"/>
      <c r="D91" s="30"/>
      <c r="E91" s="31"/>
      <c r="AA91">
        <f t="shared" si="16"/>
        <v>0</v>
      </c>
      <c r="AB91">
        <f t="shared" si="17"/>
        <v>0</v>
      </c>
      <c r="AC91">
        <f t="shared" si="18"/>
        <v>0</v>
      </c>
      <c r="AD91">
        <f t="shared" si="19"/>
        <v>0</v>
      </c>
    </row>
    <row r="92" spans="1:30" ht="22.2" thickTop="1" thickBot="1">
      <c r="A92" s="46"/>
      <c r="B92" s="37" t="s">
        <v>130</v>
      </c>
      <c r="C92" s="29"/>
      <c r="D92" s="30"/>
      <c r="E92" s="31"/>
      <c r="AA92">
        <f t="shared" si="16"/>
        <v>0</v>
      </c>
      <c r="AB92">
        <f t="shared" si="17"/>
        <v>0</v>
      </c>
      <c r="AC92">
        <f t="shared" si="18"/>
        <v>0</v>
      </c>
      <c r="AD92">
        <f t="shared" si="19"/>
        <v>0</v>
      </c>
    </row>
    <row r="93" spans="1:30" ht="22.2" thickTop="1" thickBot="1">
      <c r="A93" s="46"/>
      <c r="B93" s="37" t="s">
        <v>131</v>
      </c>
      <c r="C93" s="29"/>
      <c r="D93" s="30"/>
      <c r="E93" s="31"/>
      <c r="AA93">
        <f t="shared" si="16"/>
        <v>0</v>
      </c>
      <c r="AB93">
        <f t="shared" si="17"/>
        <v>0</v>
      </c>
      <c r="AC93">
        <f t="shared" si="18"/>
        <v>0</v>
      </c>
      <c r="AD93">
        <f t="shared" si="19"/>
        <v>0</v>
      </c>
    </row>
    <row r="94" spans="1:30" ht="22.2" thickTop="1" thickBot="1">
      <c r="A94" s="46"/>
      <c r="B94" s="37" t="s">
        <v>132</v>
      </c>
      <c r="C94" s="29"/>
      <c r="D94" s="30"/>
      <c r="E94" s="31"/>
      <c r="AA94">
        <f t="shared" si="16"/>
        <v>0</v>
      </c>
      <c r="AB94">
        <f t="shared" si="17"/>
        <v>0</v>
      </c>
      <c r="AC94">
        <f t="shared" si="18"/>
        <v>0</v>
      </c>
      <c r="AD94">
        <f t="shared" si="19"/>
        <v>0</v>
      </c>
    </row>
    <row r="95" spans="1:30" ht="37.200000000000003" thickTop="1" thickBot="1">
      <c r="A95" s="46"/>
      <c r="B95" s="37" t="s">
        <v>133</v>
      </c>
      <c r="C95" s="29"/>
      <c r="D95" s="30"/>
      <c r="E95" s="31"/>
      <c r="AA95">
        <f t="shared" si="16"/>
        <v>0</v>
      </c>
      <c r="AB95">
        <f t="shared" si="17"/>
        <v>0</v>
      </c>
      <c r="AC95">
        <f t="shared" si="18"/>
        <v>0</v>
      </c>
      <c r="AD95">
        <f t="shared" si="19"/>
        <v>0</v>
      </c>
    </row>
    <row r="96" spans="1:30" ht="22.2" thickTop="1" thickBot="1">
      <c r="A96" s="46"/>
      <c r="B96" s="37" t="s">
        <v>134</v>
      </c>
      <c r="C96" s="29"/>
      <c r="D96" s="30"/>
      <c r="E96" s="31"/>
      <c r="AA96">
        <f t="shared" si="16"/>
        <v>0</v>
      </c>
      <c r="AB96">
        <f t="shared" si="17"/>
        <v>0</v>
      </c>
      <c r="AC96">
        <f t="shared" si="18"/>
        <v>0</v>
      </c>
      <c r="AD96">
        <f t="shared" si="19"/>
        <v>0</v>
      </c>
    </row>
    <row r="97" spans="1:32" ht="22.2" thickTop="1" thickBot="1">
      <c r="A97" s="41" t="s">
        <v>135</v>
      </c>
      <c r="B97" s="38" t="s">
        <v>136</v>
      </c>
      <c r="C97" s="29"/>
      <c r="D97" s="30"/>
      <c r="E97" s="31"/>
      <c r="AA97">
        <f t="shared" si="16"/>
        <v>0</v>
      </c>
      <c r="AB97">
        <f t="shared" si="17"/>
        <v>0</v>
      </c>
      <c r="AC97">
        <f t="shared" si="18"/>
        <v>0</v>
      </c>
      <c r="AD97">
        <f t="shared" si="19"/>
        <v>0</v>
      </c>
    </row>
    <row r="98" spans="1:32" ht="22.2" thickTop="1" thickBot="1">
      <c r="A98" s="41" t="s">
        <v>137</v>
      </c>
      <c r="B98" s="38" t="s">
        <v>138</v>
      </c>
      <c r="C98" s="29"/>
      <c r="D98" s="30"/>
      <c r="E98" s="31"/>
      <c r="AA98">
        <f t="shared" si="16"/>
        <v>0</v>
      </c>
      <c r="AB98">
        <f t="shared" si="17"/>
        <v>0</v>
      </c>
      <c r="AC98">
        <f t="shared" si="18"/>
        <v>0</v>
      </c>
      <c r="AD98">
        <f t="shared" si="19"/>
        <v>0</v>
      </c>
    </row>
    <row r="99" spans="1:32" ht="22.2" thickTop="1" thickBot="1">
      <c r="A99" s="41" t="s">
        <v>139</v>
      </c>
      <c r="B99" s="38" t="s">
        <v>140</v>
      </c>
      <c r="C99" s="29"/>
      <c r="D99" s="30"/>
      <c r="E99" s="31"/>
      <c r="AA99">
        <f t="shared" si="16"/>
        <v>0</v>
      </c>
      <c r="AB99">
        <f t="shared" si="17"/>
        <v>0</v>
      </c>
      <c r="AC99">
        <f t="shared" si="18"/>
        <v>0</v>
      </c>
      <c r="AD99">
        <f t="shared" si="19"/>
        <v>0</v>
      </c>
    </row>
    <row r="100" spans="1:32" ht="22.2" thickTop="1" thickBot="1">
      <c r="A100" s="41" t="s">
        <v>141</v>
      </c>
      <c r="B100" s="38" t="s">
        <v>142</v>
      </c>
      <c r="C100" s="29"/>
      <c r="D100" s="30"/>
      <c r="E100" s="31"/>
      <c r="AA100">
        <f t="shared" si="16"/>
        <v>0</v>
      </c>
      <c r="AB100">
        <f t="shared" si="17"/>
        <v>0</v>
      </c>
      <c r="AC100">
        <f t="shared" si="18"/>
        <v>0</v>
      </c>
      <c r="AD100">
        <f t="shared" si="19"/>
        <v>0</v>
      </c>
    </row>
    <row r="101" spans="1:32" ht="22.2" thickTop="1" thickBot="1">
      <c r="A101" s="41" t="s">
        <v>143</v>
      </c>
      <c r="B101" s="38" t="s">
        <v>144</v>
      </c>
      <c r="C101" s="29"/>
      <c r="D101" s="30"/>
      <c r="E101" s="31"/>
      <c r="AA101">
        <f t="shared" si="16"/>
        <v>0</v>
      </c>
      <c r="AB101">
        <f t="shared" si="17"/>
        <v>0</v>
      </c>
      <c r="AC101">
        <f t="shared" si="18"/>
        <v>0</v>
      </c>
      <c r="AD101">
        <f t="shared" si="19"/>
        <v>0</v>
      </c>
    </row>
    <row r="102" spans="1:32" ht="53.1" customHeight="1" thickTop="1" thickBot="1">
      <c r="A102" s="50" t="s">
        <v>145</v>
      </c>
      <c r="B102" s="23" t="s">
        <v>146</v>
      </c>
      <c r="C102" s="24" t="s">
        <v>40</v>
      </c>
      <c r="D102" s="25"/>
      <c r="E102" s="26" t="str">
        <f>"Quotation: "&amp;ROUND((AE102/AF102)*100,2)&amp;"%"</f>
        <v>Quotation: 0%</v>
      </c>
      <c r="AE102">
        <f>SUM(AA103:AA106)+SUM(AB103:AB106)*0.5</f>
        <v>0</v>
      </c>
      <c r="AF102">
        <f>COUNT(AA103:AA106)-SUM(AD103:AD106)</f>
        <v>4</v>
      </c>
    </row>
    <row r="103" spans="1:32" ht="22.2" thickTop="1" thickBot="1">
      <c r="A103" s="51" t="s">
        <v>147</v>
      </c>
      <c r="B103" s="38" t="s">
        <v>148</v>
      </c>
      <c r="C103" s="29"/>
      <c r="D103" s="30"/>
      <c r="E103" s="31"/>
      <c r="AA103">
        <f>IF(C103="Met",1,0)</f>
        <v>0</v>
      </c>
      <c r="AB103">
        <f>IF(C103="Partially Met",1,0)</f>
        <v>0</v>
      </c>
      <c r="AC103">
        <f>IF(C103="UnMet",1,0)</f>
        <v>0</v>
      </c>
      <c r="AD103">
        <f>IF(C103="Not Applicable",1,0)</f>
        <v>0</v>
      </c>
    </row>
    <row r="104" spans="1:32" ht="37.200000000000003" thickTop="1" thickBot="1">
      <c r="A104" s="51" t="s">
        <v>149</v>
      </c>
      <c r="B104" s="38" t="s">
        <v>150</v>
      </c>
      <c r="C104" s="29"/>
      <c r="D104" s="30"/>
      <c r="E104" s="31"/>
      <c r="AA104">
        <f>IF(C104="Met",1,0)</f>
        <v>0</v>
      </c>
      <c r="AB104">
        <f>IF(C104="Partially Met",1,0)</f>
        <v>0</v>
      </c>
      <c r="AC104">
        <f>IF(C104="UnMet",1,0)</f>
        <v>0</v>
      </c>
      <c r="AD104">
        <f>IF(C104="Not Applicable",1,0)</f>
        <v>0</v>
      </c>
    </row>
    <row r="105" spans="1:32" ht="37.200000000000003" thickTop="1" thickBot="1">
      <c r="A105" s="51" t="s">
        <v>151</v>
      </c>
      <c r="B105" s="38" t="s">
        <v>152</v>
      </c>
      <c r="C105" s="29"/>
      <c r="D105" s="30"/>
      <c r="E105" s="31"/>
      <c r="AA105">
        <f>IF(C105="Met",1,0)</f>
        <v>0</v>
      </c>
      <c r="AB105">
        <f>IF(C105="Partially Met",1,0)</f>
        <v>0</v>
      </c>
      <c r="AC105">
        <f>IF(C105="UnMet",1,0)</f>
        <v>0</v>
      </c>
      <c r="AD105">
        <f>IF(C105="Not Applicable",1,0)</f>
        <v>0</v>
      </c>
    </row>
    <row r="106" spans="1:32" ht="22.2" thickTop="1" thickBot="1">
      <c r="A106" s="51" t="s">
        <v>153</v>
      </c>
      <c r="B106" s="38" t="s">
        <v>154</v>
      </c>
      <c r="C106" s="29"/>
      <c r="D106" s="30"/>
      <c r="E106" s="31"/>
      <c r="AA106">
        <f>IF(C106="Met",1,0)</f>
        <v>0</v>
      </c>
      <c r="AB106">
        <f>IF(C106="Partially Met",1,0)</f>
        <v>0</v>
      </c>
      <c r="AC106">
        <f>IF(C106="UnMet",1,0)</f>
        <v>0</v>
      </c>
      <c r="AD106">
        <f>IF(C106="Not Applicable",1,0)</f>
        <v>0</v>
      </c>
    </row>
    <row r="107" spans="1:32" ht="68.25" customHeight="1" thickTop="1" thickBot="1">
      <c r="A107" s="39" t="s">
        <v>155</v>
      </c>
      <c r="B107" s="42" t="s">
        <v>156</v>
      </c>
      <c r="C107" s="24" t="s">
        <v>157</v>
      </c>
      <c r="D107" s="25"/>
      <c r="E107" s="26" t="str">
        <f>"Quotation: "&amp;ROUND((AE107/AF107)*100,2)&amp;"%"</f>
        <v>Quotation: 0%</v>
      </c>
      <c r="AE107">
        <f>SUM(AA108:AA120)+SUM(AB108:AB120)*0.5</f>
        <v>0</v>
      </c>
      <c r="AF107">
        <f>COUNT(AA108:AA120)-SUM(AD108:AD120)</f>
        <v>12</v>
      </c>
    </row>
    <row r="108" spans="1:32" ht="37.200000000000003" thickTop="1" thickBot="1">
      <c r="A108" s="52" t="s">
        <v>158</v>
      </c>
      <c r="B108" s="33" t="s">
        <v>159</v>
      </c>
      <c r="C108" s="34"/>
      <c r="D108" s="35"/>
      <c r="E108" s="36"/>
    </row>
    <row r="109" spans="1:32" ht="22.2" thickTop="1" thickBot="1">
      <c r="A109" s="52"/>
      <c r="B109" s="37" t="s">
        <v>160</v>
      </c>
      <c r="C109" s="29"/>
      <c r="D109" s="30"/>
      <c r="E109" s="31"/>
      <c r="AA109">
        <f t="shared" ref="AA109:AA120" si="20">IF(C109="Met",1,0)</f>
        <v>0</v>
      </c>
      <c r="AB109">
        <f t="shared" ref="AB109:AB120" si="21">IF(C109="Partially Met",1,0)</f>
        <v>0</v>
      </c>
      <c r="AC109">
        <f t="shared" ref="AC109:AC120" si="22">IF(C109="UnMet",1,0)</f>
        <v>0</v>
      </c>
      <c r="AD109">
        <f t="shared" ref="AD109:AD120" si="23">IF(C109="Not Applicable",1,0)</f>
        <v>0</v>
      </c>
    </row>
    <row r="110" spans="1:32" ht="22.2" thickTop="1" thickBot="1">
      <c r="A110" s="52"/>
      <c r="B110" s="37" t="s">
        <v>161</v>
      </c>
      <c r="C110" s="29"/>
      <c r="D110" s="30"/>
      <c r="E110" s="31"/>
      <c r="AA110">
        <f t="shared" si="20"/>
        <v>0</v>
      </c>
      <c r="AB110">
        <f t="shared" si="21"/>
        <v>0</v>
      </c>
      <c r="AC110">
        <f t="shared" si="22"/>
        <v>0</v>
      </c>
      <c r="AD110">
        <f t="shared" si="23"/>
        <v>0</v>
      </c>
    </row>
    <row r="111" spans="1:32" ht="22.2" thickTop="1" thickBot="1">
      <c r="A111" s="52"/>
      <c r="B111" s="37" t="s">
        <v>162</v>
      </c>
      <c r="C111" s="29"/>
      <c r="D111" s="30"/>
      <c r="E111" s="31"/>
      <c r="AA111">
        <f t="shared" si="20"/>
        <v>0</v>
      </c>
      <c r="AB111">
        <f t="shared" si="21"/>
        <v>0</v>
      </c>
      <c r="AC111">
        <f t="shared" si="22"/>
        <v>0</v>
      </c>
      <c r="AD111">
        <f t="shared" si="23"/>
        <v>0</v>
      </c>
    </row>
    <row r="112" spans="1:32" ht="22.2" thickTop="1" thickBot="1">
      <c r="A112" s="52"/>
      <c r="B112" s="37" t="s">
        <v>163</v>
      </c>
      <c r="C112" s="29"/>
      <c r="D112" s="30"/>
      <c r="E112" s="31"/>
      <c r="AA112">
        <f t="shared" si="20"/>
        <v>0</v>
      </c>
      <c r="AB112">
        <f t="shared" si="21"/>
        <v>0</v>
      </c>
      <c r="AC112">
        <f t="shared" si="22"/>
        <v>0</v>
      </c>
      <c r="AD112">
        <f t="shared" si="23"/>
        <v>0</v>
      </c>
    </row>
    <row r="113" spans="1:32" ht="22.2" thickTop="1" thickBot="1">
      <c r="A113" s="52"/>
      <c r="B113" s="37" t="s">
        <v>164</v>
      </c>
      <c r="C113" s="29"/>
      <c r="D113" s="30"/>
      <c r="E113" s="31"/>
      <c r="AA113">
        <f t="shared" si="20"/>
        <v>0</v>
      </c>
      <c r="AB113">
        <f t="shared" si="21"/>
        <v>0</v>
      </c>
      <c r="AC113">
        <f t="shared" si="22"/>
        <v>0</v>
      </c>
      <c r="AD113">
        <f t="shared" si="23"/>
        <v>0</v>
      </c>
    </row>
    <row r="114" spans="1:32" ht="22.2" thickTop="1" thickBot="1">
      <c r="A114" s="52"/>
      <c r="B114" s="37" t="s">
        <v>165</v>
      </c>
      <c r="C114" s="29"/>
      <c r="D114" s="30"/>
      <c r="E114" s="31"/>
      <c r="AA114">
        <f t="shared" si="20"/>
        <v>0</v>
      </c>
      <c r="AB114">
        <f t="shared" si="21"/>
        <v>0</v>
      </c>
      <c r="AC114">
        <f t="shared" si="22"/>
        <v>0</v>
      </c>
      <c r="AD114">
        <f t="shared" si="23"/>
        <v>0</v>
      </c>
    </row>
    <row r="115" spans="1:32" ht="22.2" thickTop="1" thickBot="1">
      <c r="A115" s="52"/>
      <c r="B115" s="37" t="s">
        <v>166</v>
      </c>
      <c r="C115" s="29"/>
      <c r="D115" s="30"/>
      <c r="E115" s="31"/>
      <c r="AA115">
        <f t="shared" si="20"/>
        <v>0</v>
      </c>
      <c r="AB115">
        <f t="shared" si="21"/>
        <v>0</v>
      </c>
      <c r="AC115">
        <f t="shared" si="22"/>
        <v>0</v>
      </c>
      <c r="AD115">
        <f t="shared" si="23"/>
        <v>0</v>
      </c>
    </row>
    <row r="116" spans="1:32" ht="22.2" thickTop="1" thickBot="1">
      <c r="A116" s="52"/>
      <c r="B116" s="37" t="s">
        <v>167</v>
      </c>
      <c r="C116" s="29"/>
      <c r="D116" s="30"/>
      <c r="E116" s="31"/>
      <c r="AA116">
        <f t="shared" si="20"/>
        <v>0</v>
      </c>
      <c r="AB116">
        <f t="shared" si="21"/>
        <v>0</v>
      </c>
      <c r="AC116">
        <f t="shared" si="22"/>
        <v>0</v>
      </c>
      <c r="AD116">
        <f t="shared" si="23"/>
        <v>0</v>
      </c>
    </row>
    <row r="117" spans="1:32" ht="22.2" thickTop="1" thickBot="1">
      <c r="A117" s="52"/>
      <c r="B117" s="37" t="s">
        <v>168</v>
      </c>
      <c r="C117" s="29"/>
      <c r="D117" s="30"/>
      <c r="E117" s="31"/>
      <c r="AA117">
        <f t="shared" si="20"/>
        <v>0</v>
      </c>
      <c r="AB117">
        <f t="shared" si="21"/>
        <v>0</v>
      </c>
      <c r="AC117">
        <f t="shared" si="22"/>
        <v>0</v>
      </c>
      <c r="AD117">
        <f t="shared" si="23"/>
        <v>0</v>
      </c>
    </row>
    <row r="118" spans="1:32" ht="37.200000000000003" thickTop="1" thickBot="1">
      <c r="A118" s="51" t="s">
        <v>169</v>
      </c>
      <c r="B118" s="38" t="s">
        <v>170</v>
      </c>
      <c r="C118" s="29"/>
      <c r="D118" s="30"/>
      <c r="E118" s="31"/>
      <c r="AA118">
        <f t="shared" si="20"/>
        <v>0</v>
      </c>
      <c r="AB118">
        <f t="shared" si="21"/>
        <v>0</v>
      </c>
      <c r="AC118">
        <f t="shared" si="22"/>
        <v>0</v>
      </c>
      <c r="AD118">
        <f t="shared" si="23"/>
        <v>0</v>
      </c>
    </row>
    <row r="119" spans="1:32" ht="30.75" customHeight="1" thickTop="1" thickBot="1">
      <c r="A119" s="51" t="s">
        <v>171</v>
      </c>
      <c r="B119" s="38" t="s">
        <v>172</v>
      </c>
      <c r="C119" s="29"/>
      <c r="D119" s="30"/>
      <c r="E119" s="31"/>
      <c r="AA119">
        <f t="shared" si="20"/>
        <v>0</v>
      </c>
      <c r="AB119">
        <f t="shared" si="21"/>
        <v>0</v>
      </c>
      <c r="AC119">
        <f t="shared" si="22"/>
        <v>0</v>
      </c>
      <c r="AD119">
        <f t="shared" si="23"/>
        <v>0</v>
      </c>
    </row>
    <row r="120" spans="1:32" ht="37.200000000000003" thickTop="1" thickBot="1">
      <c r="A120" s="51" t="s">
        <v>173</v>
      </c>
      <c r="B120" s="38" t="s">
        <v>174</v>
      </c>
      <c r="C120" s="29"/>
      <c r="D120" s="30"/>
      <c r="E120" s="31"/>
      <c r="AA120">
        <f t="shared" si="20"/>
        <v>0</v>
      </c>
      <c r="AB120">
        <f t="shared" si="21"/>
        <v>0</v>
      </c>
      <c r="AC120">
        <f t="shared" si="22"/>
        <v>0</v>
      </c>
      <c r="AD120">
        <f t="shared" si="23"/>
        <v>0</v>
      </c>
    </row>
    <row r="121" spans="1:32" ht="81" customHeight="1" thickTop="1" thickBot="1">
      <c r="A121" s="39" t="s">
        <v>175</v>
      </c>
      <c r="B121" s="42" t="s">
        <v>176</v>
      </c>
      <c r="C121" s="24" t="s">
        <v>177</v>
      </c>
      <c r="D121" s="25"/>
      <c r="E121" s="26" t="str">
        <f>"Quotation: "&amp;ROUND((AE121/AF121)*100,2)&amp;"%"</f>
        <v>Quotation: 0%</v>
      </c>
      <c r="AE121">
        <f>SUM(AA122:AA127)+SUM(AB122:AB127)*0.5</f>
        <v>0</v>
      </c>
      <c r="AF121">
        <f>COUNT(AA122:AA127)-SUM(AD122:AD127)</f>
        <v>6</v>
      </c>
    </row>
    <row r="122" spans="1:32" ht="27" customHeight="1" thickTop="1" thickBot="1">
      <c r="A122" s="51" t="s">
        <v>178</v>
      </c>
      <c r="B122" s="38" t="s">
        <v>179</v>
      </c>
      <c r="C122" s="29"/>
      <c r="D122" s="30"/>
      <c r="E122" s="31"/>
      <c r="AA122">
        <f t="shared" ref="AA122:AA127" si="24">IF(C122="Met",1,0)</f>
        <v>0</v>
      </c>
      <c r="AB122">
        <f t="shared" ref="AB122:AB127" si="25">IF(C122="Partially Met",1,0)</f>
        <v>0</v>
      </c>
      <c r="AC122">
        <f t="shared" ref="AC122:AC127" si="26">IF(C122="UnMet",1,0)</f>
        <v>0</v>
      </c>
      <c r="AD122">
        <f t="shared" ref="AD122:AD127" si="27">IF(C122="Not Applicable",1,0)</f>
        <v>0</v>
      </c>
    </row>
    <row r="123" spans="1:32" ht="22.2" thickTop="1" thickBot="1">
      <c r="A123" s="51" t="s">
        <v>180</v>
      </c>
      <c r="B123" s="38" t="s">
        <v>181</v>
      </c>
      <c r="C123" s="29"/>
      <c r="D123" s="30"/>
      <c r="E123" s="31"/>
      <c r="AA123">
        <f t="shared" si="24"/>
        <v>0</v>
      </c>
      <c r="AB123">
        <f t="shared" si="25"/>
        <v>0</v>
      </c>
      <c r="AC123">
        <f t="shared" si="26"/>
        <v>0</v>
      </c>
      <c r="AD123">
        <f t="shared" si="27"/>
        <v>0</v>
      </c>
    </row>
    <row r="124" spans="1:32" ht="37.200000000000003" thickTop="1" thickBot="1">
      <c r="A124" s="51" t="s">
        <v>182</v>
      </c>
      <c r="B124" s="38" t="s">
        <v>183</v>
      </c>
      <c r="C124" s="29"/>
      <c r="D124" s="30"/>
      <c r="E124" s="31"/>
      <c r="AA124">
        <f t="shared" si="24"/>
        <v>0</v>
      </c>
      <c r="AB124">
        <f t="shared" si="25"/>
        <v>0</v>
      </c>
      <c r="AC124">
        <f t="shared" si="26"/>
        <v>0</v>
      </c>
      <c r="AD124">
        <f t="shared" si="27"/>
        <v>0</v>
      </c>
    </row>
    <row r="125" spans="1:32" ht="37.200000000000003" thickTop="1" thickBot="1">
      <c r="A125" s="51" t="s">
        <v>184</v>
      </c>
      <c r="B125" s="38" t="s">
        <v>185</v>
      </c>
      <c r="C125" s="29"/>
      <c r="D125" s="30"/>
      <c r="E125" s="31"/>
      <c r="AA125">
        <f t="shared" si="24"/>
        <v>0</v>
      </c>
      <c r="AB125">
        <f t="shared" si="25"/>
        <v>0</v>
      </c>
      <c r="AC125">
        <f t="shared" si="26"/>
        <v>0</v>
      </c>
      <c r="AD125">
        <f t="shared" si="27"/>
        <v>0</v>
      </c>
    </row>
    <row r="126" spans="1:32" ht="37.200000000000003" thickTop="1" thickBot="1">
      <c r="A126" s="51" t="s">
        <v>186</v>
      </c>
      <c r="B126" s="38" t="s">
        <v>187</v>
      </c>
      <c r="C126" s="29"/>
      <c r="D126" s="30"/>
      <c r="E126" s="31"/>
      <c r="AA126">
        <f t="shared" si="24"/>
        <v>0</v>
      </c>
      <c r="AB126">
        <f t="shared" si="25"/>
        <v>0</v>
      </c>
      <c r="AC126">
        <f t="shared" si="26"/>
        <v>0</v>
      </c>
      <c r="AD126">
        <f t="shared" si="27"/>
        <v>0</v>
      </c>
    </row>
    <row r="127" spans="1:32" ht="36" customHeight="1" thickTop="1" thickBot="1">
      <c r="A127" s="51" t="s">
        <v>188</v>
      </c>
      <c r="B127" s="38" t="s">
        <v>189</v>
      </c>
      <c r="C127" s="29"/>
      <c r="D127" s="30"/>
      <c r="E127" s="31"/>
      <c r="AA127">
        <f t="shared" si="24"/>
        <v>0</v>
      </c>
      <c r="AB127">
        <f t="shared" si="25"/>
        <v>0</v>
      </c>
      <c r="AC127">
        <f t="shared" si="26"/>
        <v>0</v>
      </c>
      <c r="AD127">
        <f t="shared" si="27"/>
        <v>0</v>
      </c>
    </row>
    <row r="128" spans="1:32" ht="81" customHeight="1" thickTop="1" thickBot="1">
      <c r="A128" s="39" t="s">
        <v>190</v>
      </c>
      <c r="B128" s="40" t="s">
        <v>191</v>
      </c>
      <c r="C128" s="24" t="s">
        <v>192</v>
      </c>
      <c r="D128" s="25"/>
      <c r="E128" s="26" t="str">
        <f>"Quotation: "&amp;ROUND((AE128/AF128)*100,2)&amp;"%"</f>
        <v>Quotation: 0%</v>
      </c>
      <c r="AE128">
        <f>SUM(AA129:AA136)+SUM(AB129:AB136)*0.5</f>
        <v>0</v>
      </c>
      <c r="AF128">
        <f>COUNT(AA129:AA136)-SUM(AD129:AD136)</f>
        <v>8</v>
      </c>
    </row>
    <row r="129" spans="1:32" ht="38.25" customHeight="1" thickTop="1" thickBot="1">
      <c r="A129" s="51" t="s">
        <v>193</v>
      </c>
      <c r="B129" s="38" t="s">
        <v>194</v>
      </c>
      <c r="C129" s="29"/>
      <c r="D129" s="30"/>
      <c r="E129" s="31"/>
      <c r="AA129">
        <f t="shared" ref="AA129:AA136" si="28">IF(C129="Met",1,0)</f>
        <v>0</v>
      </c>
      <c r="AB129">
        <f t="shared" ref="AB129:AB136" si="29">IF(C129="Partially Met",1,0)</f>
        <v>0</v>
      </c>
      <c r="AC129">
        <f t="shared" ref="AC129:AC136" si="30">IF(C129="UnMet",1,0)</f>
        <v>0</v>
      </c>
      <c r="AD129">
        <f t="shared" ref="AD129:AD136" si="31">IF(C129="Not Applicable",1,0)</f>
        <v>0</v>
      </c>
    </row>
    <row r="130" spans="1:32" ht="37.200000000000003" thickTop="1" thickBot="1">
      <c r="A130" s="51" t="s">
        <v>195</v>
      </c>
      <c r="B130" s="38" t="s">
        <v>196</v>
      </c>
      <c r="C130" s="29"/>
      <c r="D130" s="30"/>
      <c r="E130" s="31"/>
      <c r="AA130">
        <f t="shared" si="28"/>
        <v>0</v>
      </c>
      <c r="AB130">
        <f t="shared" si="29"/>
        <v>0</v>
      </c>
      <c r="AC130">
        <f t="shared" si="30"/>
        <v>0</v>
      </c>
      <c r="AD130">
        <f t="shared" si="31"/>
        <v>0</v>
      </c>
    </row>
    <row r="131" spans="1:32" ht="22.2" thickTop="1" thickBot="1">
      <c r="A131" s="51" t="s">
        <v>197</v>
      </c>
      <c r="B131" s="38" t="s">
        <v>198</v>
      </c>
      <c r="C131" s="29"/>
      <c r="D131" s="30"/>
      <c r="E131" s="31"/>
      <c r="AA131">
        <f t="shared" si="28"/>
        <v>0</v>
      </c>
      <c r="AB131">
        <f t="shared" si="29"/>
        <v>0</v>
      </c>
      <c r="AC131">
        <f t="shared" si="30"/>
        <v>0</v>
      </c>
      <c r="AD131">
        <f t="shared" si="31"/>
        <v>0</v>
      </c>
    </row>
    <row r="132" spans="1:32" ht="37.200000000000003" thickTop="1" thickBot="1">
      <c r="A132" s="51" t="s">
        <v>199</v>
      </c>
      <c r="B132" s="38" t="s">
        <v>200</v>
      </c>
      <c r="C132" s="29"/>
      <c r="D132" s="30"/>
      <c r="E132" s="31"/>
      <c r="AA132">
        <f t="shared" si="28"/>
        <v>0</v>
      </c>
      <c r="AB132">
        <f t="shared" si="29"/>
        <v>0</v>
      </c>
      <c r="AC132">
        <f t="shared" si="30"/>
        <v>0</v>
      </c>
      <c r="AD132">
        <f t="shared" si="31"/>
        <v>0</v>
      </c>
    </row>
    <row r="133" spans="1:32" ht="22.2" thickTop="1" thickBot="1">
      <c r="A133" s="51" t="s">
        <v>201</v>
      </c>
      <c r="B133" s="38" t="s">
        <v>202</v>
      </c>
      <c r="C133" s="29"/>
      <c r="D133" s="30"/>
      <c r="E133" s="31"/>
      <c r="AA133">
        <f t="shared" si="28"/>
        <v>0</v>
      </c>
      <c r="AB133">
        <f t="shared" si="29"/>
        <v>0</v>
      </c>
      <c r="AC133">
        <f t="shared" si="30"/>
        <v>0</v>
      </c>
      <c r="AD133">
        <f t="shared" si="31"/>
        <v>0</v>
      </c>
    </row>
    <row r="134" spans="1:32" ht="22.2" thickTop="1" thickBot="1">
      <c r="A134" s="51" t="s">
        <v>203</v>
      </c>
      <c r="B134" s="38" t="s">
        <v>204</v>
      </c>
      <c r="C134" s="29"/>
      <c r="D134" s="30"/>
      <c r="E134" s="31"/>
      <c r="AA134">
        <f t="shared" si="28"/>
        <v>0</v>
      </c>
      <c r="AB134">
        <f t="shared" si="29"/>
        <v>0</v>
      </c>
      <c r="AC134">
        <f t="shared" si="30"/>
        <v>0</v>
      </c>
      <c r="AD134">
        <f t="shared" si="31"/>
        <v>0</v>
      </c>
    </row>
    <row r="135" spans="1:32" ht="22.2" thickTop="1" thickBot="1">
      <c r="A135" s="51" t="s">
        <v>205</v>
      </c>
      <c r="B135" s="38" t="s">
        <v>206</v>
      </c>
      <c r="C135" s="29"/>
      <c r="D135" s="30"/>
      <c r="E135" s="31"/>
      <c r="AA135">
        <f t="shared" si="28"/>
        <v>0</v>
      </c>
      <c r="AB135">
        <f t="shared" si="29"/>
        <v>0</v>
      </c>
      <c r="AC135">
        <f t="shared" si="30"/>
        <v>0</v>
      </c>
      <c r="AD135">
        <f t="shared" si="31"/>
        <v>0</v>
      </c>
    </row>
    <row r="136" spans="1:32" ht="22.2" thickTop="1" thickBot="1">
      <c r="A136" s="51" t="s">
        <v>207</v>
      </c>
      <c r="B136" s="38" t="s">
        <v>208</v>
      </c>
      <c r="C136" s="29"/>
      <c r="D136" s="30"/>
      <c r="E136" s="31"/>
      <c r="AA136">
        <f t="shared" si="28"/>
        <v>0</v>
      </c>
      <c r="AB136">
        <f t="shared" si="29"/>
        <v>0</v>
      </c>
      <c r="AC136">
        <f t="shared" si="30"/>
        <v>0</v>
      </c>
      <c r="AD136">
        <f t="shared" si="31"/>
        <v>0</v>
      </c>
    </row>
    <row r="137" spans="1:32" ht="60" customHeight="1" thickTop="1" thickBot="1">
      <c r="A137" s="50" t="s">
        <v>209</v>
      </c>
      <c r="B137" s="23" t="s">
        <v>210</v>
      </c>
      <c r="C137" s="24" t="s">
        <v>177</v>
      </c>
      <c r="D137" s="25"/>
      <c r="E137" s="26" t="str">
        <f>"Quotation: "&amp;ROUND((AE137/AF137)*100,2)&amp;"%"</f>
        <v>Quotation: 0%</v>
      </c>
      <c r="AE137">
        <f>SUM(AA138:AA143)+SUM(AB138:AB143)*0.5</f>
        <v>0</v>
      </c>
      <c r="AF137">
        <f>COUNT(AA138:AA143)-SUM(AD138:AD143)</f>
        <v>6</v>
      </c>
    </row>
    <row r="138" spans="1:32" ht="55.2" thickTop="1" thickBot="1">
      <c r="A138" s="51" t="s">
        <v>211</v>
      </c>
      <c r="B138" s="38" t="s">
        <v>212</v>
      </c>
      <c r="C138" s="29"/>
      <c r="D138" s="30"/>
      <c r="E138" s="31"/>
      <c r="AA138">
        <f t="shared" ref="AA138:AA143" si="32">IF(C138="Met",1,0)</f>
        <v>0</v>
      </c>
      <c r="AB138">
        <f t="shared" ref="AB138:AB143" si="33">IF(C138="Partially Met",1,0)</f>
        <v>0</v>
      </c>
      <c r="AC138">
        <f t="shared" ref="AC138:AC143" si="34">IF(C138="UnMet",1,0)</f>
        <v>0</v>
      </c>
      <c r="AD138">
        <f t="shared" ref="AD138:AD143" si="35">IF(C138="Not Applicable",1,0)</f>
        <v>0</v>
      </c>
    </row>
    <row r="139" spans="1:32" ht="22.2" thickTop="1" thickBot="1">
      <c r="A139" s="51" t="s">
        <v>213</v>
      </c>
      <c r="B139" s="38" t="s">
        <v>214</v>
      </c>
      <c r="C139" s="29"/>
      <c r="D139" s="30"/>
      <c r="E139" s="31"/>
      <c r="AA139">
        <f t="shared" si="32"/>
        <v>0</v>
      </c>
      <c r="AB139">
        <f t="shared" si="33"/>
        <v>0</v>
      </c>
      <c r="AC139">
        <f t="shared" si="34"/>
        <v>0</v>
      </c>
      <c r="AD139">
        <f t="shared" si="35"/>
        <v>0</v>
      </c>
    </row>
    <row r="140" spans="1:32" ht="22.2" thickTop="1" thickBot="1">
      <c r="A140" s="51" t="s">
        <v>215</v>
      </c>
      <c r="B140" s="38" t="s">
        <v>216</v>
      </c>
      <c r="C140" s="29"/>
      <c r="D140" s="30"/>
      <c r="E140" s="31"/>
      <c r="AA140">
        <f t="shared" si="32"/>
        <v>0</v>
      </c>
      <c r="AB140">
        <f t="shared" si="33"/>
        <v>0</v>
      </c>
      <c r="AC140">
        <f t="shared" si="34"/>
        <v>0</v>
      </c>
      <c r="AD140">
        <f t="shared" si="35"/>
        <v>0</v>
      </c>
    </row>
    <row r="141" spans="1:32" ht="23.25" customHeight="1" thickTop="1" thickBot="1">
      <c r="A141" s="51" t="s">
        <v>217</v>
      </c>
      <c r="B141" s="38" t="s">
        <v>218</v>
      </c>
      <c r="C141" s="29"/>
      <c r="D141" s="30"/>
      <c r="E141" s="31"/>
      <c r="AA141">
        <f t="shared" si="32"/>
        <v>0</v>
      </c>
      <c r="AB141">
        <f t="shared" si="33"/>
        <v>0</v>
      </c>
      <c r="AC141">
        <f t="shared" si="34"/>
        <v>0</v>
      </c>
      <c r="AD141">
        <f t="shared" si="35"/>
        <v>0</v>
      </c>
    </row>
    <row r="142" spans="1:32" ht="22.2" thickTop="1" thickBot="1">
      <c r="A142" s="51" t="s">
        <v>219</v>
      </c>
      <c r="B142" s="38" t="s">
        <v>220</v>
      </c>
      <c r="C142" s="29"/>
      <c r="D142" s="30"/>
      <c r="E142" s="31"/>
      <c r="AA142">
        <f t="shared" si="32"/>
        <v>0</v>
      </c>
      <c r="AB142">
        <f t="shared" si="33"/>
        <v>0</v>
      </c>
      <c r="AC142">
        <f t="shared" si="34"/>
        <v>0</v>
      </c>
      <c r="AD142">
        <f t="shared" si="35"/>
        <v>0</v>
      </c>
    </row>
    <row r="143" spans="1:32" ht="22.2" thickTop="1" thickBot="1">
      <c r="A143" s="51" t="s">
        <v>221</v>
      </c>
      <c r="B143" s="38" t="s">
        <v>222</v>
      </c>
      <c r="C143" s="29"/>
      <c r="D143" s="30"/>
      <c r="E143" s="31"/>
      <c r="AA143">
        <f t="shared" si="32"/>
        <v>0</v>
      </c>
      <c r="AB143">
        <f t="shared" si="33"/>
        <v>0</v>
      </c>
      <c r="AC143">
        <f t="shared" si="34"/>
        <v>0</v>
      </c>
      <c r="AD143">
        <f t="shared" si="35"/>
        <v>0</v>
      </c>
    </row>
    <row r="144" spans="1:32" ht="81" customHeight="1" thickTop="1" thickBot="1">
      <c r="A144" s="39" t="s">
        <v>223</v>
      </c>
      <c r="B144" s="42" t="s">
        <v>224</v>
      </c>
      <c r="C144" s="24" t="s">
        <v>225</v>
      </c>
      <c r="D144" s="25"/>
      <c r="E144" s="26" t="str">
        <f>"Quotation: "&amp;ROUND((AE144/AF144)*100,2)&amp;"%"</f>
        <v>Quotation: 0%</v>
      </c>
      <c r="AE144">
        <f>SUM(AA145:AA149)+SUM(AB145:AB149)*0.5</f>
        <v>0</v>
      </c>
      <c r="AF144">
        <f>COUNT(AA145:AA149)-SUM(AD145:AD149)</f>
        <v>5</v>
      </c>
    </row>
    <row r="145" spans="1:30" ht="22.2" thickTop="1" thickBot="1">
      <c r="A145" s="51" t="s">
        <v>226</v>
      </c>
      <c r="B145" s="38" t="s">
        <v>227</v>
      </c>
      <c r="C145" s="29"/>
      <c r="D145" s="30"/>
      <c r="E145" s="31"/>
      <c r="AA145">
        <f>IF(C145="Met",1,0)</f>
        <v>0</v>
      </c>
      <c r="AB145">
        <f>IF(C145="Partially Met",1,0)</f>
        <v>0</v>
      </c>
      <c r="AC145">
        <f>IF(C145="UnMet",1,0)</f>
        <v>0</v>
      </c>
      <c r="AD145">
        <f>IF(C145="Not Applicable",1,0)</f>
        <v>0</v>
      </c>
    </row>
    <row r="146" spans="1:30" ht="22.2" thickTop="1" thickBot="1">
      <c r="A146" s="51" t="s">
        <v>180</v>
      </c>
      <c r="B146" s="38" t="s">
        <v>228</v>
      </c>
      <c r="C146" s="29"/>
      <c r="D146" s="30"/>
      <c r="E146" s="31"/>
      <c r="AA146">
        <f>IF(C146="Met",1,0)</f>
        <v>0</v>
      </c>
      <c r="AB146">
        <f>IF(C146="Partially Met",1,0)</f>
        <v>0</v>
      </c>
      <c r="AC146">
        <f>IF(C146="UnMet",1,0)</f>
        <v>0</v>
      </c>
      <c r="AD146">
        <f>IF(C146="Not Applicable",1,0)</f>
        <v>0</v>
      </c>
    </row>
    <row r="147" spans="1:30" ht="22.2" thickTop="1" thickBot="1">
      <c r="A147" s="51" t="s">
        <v>229</v>
      </c>
      <c r="B147" s="38" t="s">
        <v>230</v>
      </c>
      <c r="C147" s="29"/>
      <c r="D147" s="30"/>
      <c r="E147" s="31"/>
      <c r="AA147">
        <f>IF(C147="Met",1,0)</f>
        <v>0</v>
      </c>
      <c r="AB147">
        <f>IF(C147="Partially Met",1,0)</f>
        <v>0</v>
      </c>
      <c r="AC147">
        <f>IF(C147="UnMet",1,0)</f>
        <v>0</v>
      </c>
      <c r="AD147">
        <f>IF(C147="Not Applicable",1,0)</f>
        <v>0</v>
      </c>
    </row>
    <row r="148" spans="1:30" ht="22.2" thickTop="1" thickBot="1">
      <c r="A148" s="51" t="s">
        <v>231</v>
      </c>
      <c r="B148" s="38" t="s">
        <v>232</v>
      </c>
      <c r="C148" s="29"/>
      <c r="D148" s="30"/>
      <c r="E148" s="31"/>
      <c r="AA148">
        <f>IF(C148="Met",1,0)</f>
        <v>0</v>
      </c>
      <c r="AB148">
        <f>IF(C148="Partially Met",1,0)</f>
        <v>0</v>
      </c>
      <c r="AC148">
        <f>IF(C148="UnMet",1,0)</f>
        <v>0</v>
      </c>
      <c r="AD148">
        <f>IF(C148="Not Applicable",1,0)</f>
        <v>0</v>
      </c>
    </row>
    <row r="149" spans="1:30" ht="22.2" thickTop="1" thickBot="1">
      <c r="A149" s="51" t="s">
        <v>233</v>
      </c>
      <c r="B149" s="38" t="s">
        <v>234</v>
      </c>
      <c r="C149" s="29"/>
      <c r="D149" s="30"/>
      <c r="E149" s="31"/>
      <c r="AA149">
        <f>IF(C149="Met",1,0)</f>
        <v>0</v>
      </c>
      <c r="AB149">
        <f>IF(C149="Partially Met",1,0)</f>
        <v>0</v>
      </c>
      <c r="AC149">
        <f>IF(C149="UnMet",1,0)</f>
        <v>0</v>
      </c>
      <c r="AD149">
        <f>IF(C149="Not Applicable",1,0)</f>
        <v>0</v>
      </c>
    </row>
  </sheetData>
  <sheetProtection algorithmName="SHA-512" hashValue="06vk7TbhpM7mBJ8vzz1Xk1KaUI8VZrE/lHvDcrWQBtT50y2qLc++pVnidqo8LSX4Nbcd6cAgT06PcMJe6MJwZA==" saltValue="IwjNYdYM8T/Gtga+LF7rTg==" spinCount="100000" sheet="1" objects="1" scenarios="1"/>
  <mergeCells count="29">
    <mergeCell ref="C121:D121"/>
    <mergeCell ref="C128:D128"/>
    <mergeCell ref="C137:D137"/>
    <mergeCell ref="C144:D144"/>
    <mergeCell ref="A77:A96"/>
    <mergeCell ref="C77:E77"/>
    <mergeCell ref="C102:D102"/>
    <mergeCell ref="C107:D107"/>
    <mergeCell ref="A108:A117"/>
    <mergeCell ref="C108:E108"/>
    <mergeCell ref="C50:D50"/>
    <mergeCell ref="A51:A64"/>
    <mergeCell ref="C51:E51"/>
    <mergeCell ref="A66:A74"/>
    <mergeCell ref="C66:E66"/>
    <mergeCell ref="C76:D76"/>
    <mergeCell ref="A12:A24"/>
    <mergeCell ref="C12:E12"/>
    <mergeCell ref="C27:D27"/>
    <mergeCell ref="C32:D32"/>
    <mergeCell ref="C37:D37"/>
    <mergeCell ref="A39:A45"/>
    <mergeCell ref="C39:E39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8:C11 C13:C26 C28:C31 C33:C36 C38 C40:C49 C52:C65 C67:C75 C78:C101 C103:C106 C109:C120 C122:C127 C129:C136 C138:C143 C145:C149">
      <formula1>"Met,Partially Met,UnMet,Not Applicable"</formula1>
    </dataValidation>
  </dataValidations>
  <pageMargins left="0.74803149606299202" right="0.74803149606299202" top="0.98425196850393704" bottom="0.98425196850393704" header="0.511811023622047" footer="0.511811023622047"/>
  <pageSetup scale="38" orientation="landscape"/>
  <rowBreaks count="5" manualBreakCount="5">
    <brk id="31" max="8" man="1"/>
    <brk id="49" max="8" man="1"/>
    <brk id="75" max="8" man="1"/>
    <brk id="101" max="8" man="1"/>
    <brk id="12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SMCS8</vt:lpstr>
      <vt:lpstr>SMCS8!_Toc87294447</vt:lpstr>
      <vt:lpstr>SMCS8!Print_Area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2025-08-22T13:37:55Z</dcterms:created>
  <dcterms:modified xsi:type="dcterms:W3CDTF">2025-08-22T13:37:56Z</dcterms:modified>
</cp:coreProperties>
</file>