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4" sheetId="1" r:id="rId1"/>
  </sheets>
  <definedNames>
    <definedName name="_xlnm.Print_Area" localSheetId="0">SMCS4!$A$1:$F$113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10" i="1" l="1"/>
  <c r="AC110" i="1"/>
  <c r="AB110" i="1"/>
  <c r="AA110" i="1"/>
  <c r="AD109" i="1"/>
  <c r="AC109" i="1"/>
  <c r="AB109" i="1"/>
  <c r="AA109" i="1"/>
  <c r="AF107" i="1" s="1"/>
  <c r="AD108" i="1"/>
  <c r="AC108" i="1"/>
  <c r="AB108" i="1"/>
  <c r="AA108" i="1"/>
  <c r="AD106" i="1"/>
  <c r="AC106" i="1"/>
  <c r="AB106" i="1"/>
  <c r="AA106" i="1"/>
  <c r="AD105" i="1"/>
  <c r="AC105" i="1"/>
  <c r="AB105" i="1"/>
  <c r="AA105" i="1"/>
  <c r="AD104" i="1"/>
  <c r="AC104" i="1"/>
  <c r="AB104" i="1"/>
  <c r="AA104" i="1"/>
  <c r="AD103" i="1"/>
  <c r="AC103" i="1"/>
  <c r="AB103" i="1"/>
  <c r="AA103" i="1"/>
  <c r="AE102" i="1" s="1"/>
  <c r="E102" i="1" s="1"/>
  <c r="AF102" i="1"/>
  <c r="AD101" i="1"/>
  <c r="AC101" i="1"/>
  <c r="AB101" i="1"/>
  <c r="AA101" i="1"/>
  <c r="AD100" i="1"/>
  <c r="AC100" i="1"/>
  <c r="AB100" i="1"/>
  <c r="AA100" i="1"/>
  <c r="AD99" i="1"/>
  <c r="AC99" i="1"/>
  <c r="AB99" i="1"/>
  <c r="AA99" i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F91" i="1" s="1"/>
  <c r="AD92" i="1"/>
  <c r="AC92" i="1"/>
  <c r="AB92" i="1"/>
  <c r="AA92" i="1"/>
  <c r="AE91" i="1" s="1"/>
  <c r="E91" i="1" s="1"/>
  <c r="AD90" i="1"/>
  <c r="AC90" i="1"/>
  <c r="AB90" i="1"/>
  <c r="AA90" i="1"/>
  <c r="AD89" i="1"/>
  <c r="AC89" i="1"/>
  <c r="AB89" i="1"/>
  <c r="AA89" i="1"/>
  <c r="AD88" i="1"/>
  <c r="AC88" i="1"/>
  <c r="AB88" i="1"/>
  <c r="AE86" i="1" s="1"/>
  <c r="E86" i="1" s="1"/>
  <c r="AA88" i="1"/>
  <c r="AD87" i="1"/>
  <c r="AC87" i="1"/>
  <c r="AB87" i="1"/>
  <c r="AA87" i="1"/>
  <c r="AF86" i="1"/>
  <c r="AD85" i="1"/>
  <c r="AC85" i="1"/>
  <c r="AB85" i="1"/>
  <c r="AA85" i="1"/>
  <c r="AD84" i="1"/>
  <c r="AC84" i="1"/>
  <c r="AB84" i="1"/>
  <c r="AA84" i="1"/>
  <c r="AF82" i="1" s="1"/>
  <c r="AD83" i="1"/>
  <c r="AC83" i="1"/>
  <c r="AB83" i="1"/>
  <c r="AA83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E77" i="1" s="1"/>
  <c r="E77" i="1" s="1"/>
  <c r="AF77" i="1"/>
  <c r="AD76" i="1"/>
  <c r="AC76" i="1"/>
  <c r="AB76" i="1"/>
  <c r="AA76" i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D67" i="1"/>
  <c r="AC67" i="1"/>
  <c r="AB67" i="1"/>
  <c r="AA67" i="1"/>
  <c r="AD66" i="1"/>
  <c r="AC66" i="1"/>
  <c r="AB66" i="1"/>
  <c r="AA66" i="1"/>
  <c r="AF64" i="1" s="1"/>
  <c r="AD65" i="1"/>
  <c r="AC65" i="1"/>
  <c r="AB65" i="1"/>
  <c r="AA65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E53" i="1" s="1"/>
  <c r="E53" i="1" s="1"/>
  <c r="AA55" i="1"/>
  <c r="AD54" i="1"/>
  <c r="AC54" i="1"/>
  <c r="AB54" i="1"/>
  <c r="AA54" i="1"/>
  <c r="AF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F43" i="1" s="1"/>
  <c r="AD44" i="1"/>
  <c r="AC44" i="1"/>
  <c r="AB44" i="1"/>
  <c r="AA44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E18" i="1" s="1"/>
  <c r="E18" i="1" s="1"/>
  <c r="AF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F11" i="1" s="1"/>
  <c r="AD12" i="1"/>
  <c r="AC12" i="1"/>
  <c r="AB12" i="1"/>
  <c r="AA12" i="1"/>
  <c r="AD10" i="1"/>
  <c r="AC10" i="1"/>
  <c r="AB10" i="1"/>
  <c r="AA10" i="1"/>
  <c r="AD9" i="1"/>
  <c r="AC9" i="1"/>
  <c r="AB9" i="1"/>
  <c r="AA9" i="1"/>
  <c r="AF7" i="1" s="1"/>
  <c r="AD8" i="1"/>
  <c r="AC8" i="1"/>
  <c r="AB8" i="1"/>
  <c r="AA8" i="1"/>
  <c r="AA4" i="1" l="1"/>
  <c r="AE43" i="1"/>
  <c r="E43" i="1" s="1"/>
  <c r="AE82" i="1"/>
  <c r="E82" i="1" s="1"/>
  <c r="AE107" i="1"/>
  <c r="E107" i="1" s="1"/>
  <c r="AB4" i="1"/>
  <c r="AE11" i="1"/>
  <c r="E11" i="1" s="1"/>
  <c r="AE64" i="1"/>
  <c r="E64" i="1" s="1"/>
  <c r="AE7" i="1"/>
  <c r="E7" i="1" s="1"/>
  <c r="C4" i="1" l="1"/>
</calcChain>
</file>

<file path=xl/sharedStrings.xml><?xml version="1.0" encoding="utf-8"?>
<sst xmlns="http://schemas.openxmlformats.org/spreadsheetml/2006/main" count="216" uniqueCount="211">
  <si>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</si>
  <si>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</si>
  <si>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</si>
  <si>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</si>
  <si>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</si>
  <si>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</si>
  <si>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</si>
  <si>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</si>
  <si>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Emergency Department</t>
  </si>
  <si>
    <t>SMCS.33</t>
  </si>
  <si>
    <t xml:space="preserve">The Emergency Department has documented scope of services. </t>
  </si>
  <si>
    <t>Total Measures: 3</t>
  </si>
  <si>
    <t>SMCS.33.a</t>
  </si>
  <si>
    <t xml:space="preserve">The Emergency Department has clearly written scope of service. </t>
  </si>
  <si>
    <t>SMCS.33.b</t>
  </si>
  <si>
    <t xml:space="preserve">The emergency staff are well oriented to the scope of service </t>
  </si>
  <si>
    <t>SMCS.33.c</t>
  </si>
  <si>
    <t>Emergency care is provided to all patients seeking treatment at the ED regardless of their gender, religion, nationality or socioeconomic status.</t>
  </si>
  <si>
    <t>SMCS.34</t>
  </si>
  <si>
    <t xml:space="preserve">Emergency Department is well equipped with qualified medical and nursing staff. </t>
  </si>
  <si>
    <t>Total Measures: 6</t>
  </si>
  <si>
    <t>SMCS.34.a</t>
  </si>
  <si>
    <t xml:space="preserve">Emergency Department is directed by a physician who is qualified by education, training, and experience in managing emergency patients. </t>
  </si>
  <si>
    <t>SMCS.34.b</t>
  </si>
  <si>
    <t>The Emergency Department is covered by registered physicians, who are qualified to manage emergency cases, twenty-four hours a day seven days a week.</t>
  </si>
  <si>
    <t>SMCS.34.c</t>
  </si>
  <si>
    <t>Emergency Department nurse manager is qualified by education, training and experience in emergency.</t>
  </si>
  <si>
    <t>SMCS.34.d</t>
  </si>
  <si>
    <t>Emergency Department staff receive training, and education as per relevant scope of services.</t>
  </si>
  <si>
    <t>SMCS.34.e</t>
  </si>
  <si>
    <t>Emergency Department medical and nursing staff are certified in BLS, ACLS.</t>
  </si>
  <si>
    <t>SMCS.34.f</t>
  </si>
  <si>
    <t>There is documented ongoing competency assessment for all medical and nursing team in the department.</t>
  </si>
  <si>
    <t>SMCS.35</t>
  </si>
  <si>
    <t>The emergency department is well established and easily accessible to receive and manage emergency patients</t>
  </si>
  <si>
    <t>Total Measures: 22</t>
  </si>
  <si>
    <t>SMCS.35.a</t>
  </si>
  <si>
    <t>The Emergency Department is identified through clear signage from outside and inside the hospital.</t>
  </si>
  <si>
    <t>SMCS.35.b</t>
  </si>
  <si>
    <t xml:space="preserve">The emergency department has separate identified entrance (s). </t>
  </si>
  <si>
    <t>SMCS.35.c</t>
  </si>
  <si>
    <t>ED entrance is controlled and only limited for clinical staff;  and not allowed for the by non-clinical staff and off-hours visitors.</t>
  </si>
  <si>
    <t>SMCS.35.d</t>
  </si>
  <si>
    <t xml:space="preserve">The ED triage area is directly visible and accessible from the department entrance </t>
  </si>
  <si>
    <t>SMCS.35.e</t>
  </si>
  <si>
    <t xml:space="preserve">The ED triage area is properly equipped with: </t>
  </si>
  <si>
    <t xml:space="preserve">
1. Physiological monitor (ECG, NIBP, SpO2, Temperature)
</t>
  </si>
  <si>
    <t>2. Glucometer</t>
  </si>
  <si>
    <t>3. Weighing scale</t>
  </si>
  <si>
    <t xml:space="preserve">4. Washbasin </t>
  </si>
  <si>
    <t>5 Wheeled examination bed</t>
  </si>
  <si>
    <t>6. Snellen chart</t>
  </si>
  <si>
    <t>7. Ophthalmoscope/otoscope</t>
  </si>
  <si>
    <t>8. Personal protective equipment</t>
  </si>
  <si>
    <t>SMCS.35.f</t>
  </si>
  <si>
    <t>The ED triage area has easy access to 12 leads ECG</t>
  </si>
  <si>
    <t>SMCS.35.g</t>
  </si>
  <si>
    <t>The ED triage room has a glass window or alternatives (e.g., CCTV) that allows visual access of patients in the waiting room.</t>
  </si>
  <si>
    <t>SMCS.35.h</t>
  </si>
  <si>
    <t xml:space="preserve">The triage area maintains patient privacy </t>
  </si>
  <si>
    <t>SMCS.35.i</t>
  </si>
  <si>
    <t>There is an existing or provisional area to be utilized as a secondary triage post to support the main triage area when needed</t>
  </si>
  <si>
    <t>SMCS.35.j</t>
  </si>
  <si>
    <t>There is a utilization plan that describes when to operate the additional triage.</t>
  </si>
  <si>
    <t>SMCS.35.k</t>
  </si>
  <si>
    <t>The waiting area allows maximum comfort by providing</t>
  </si>
  <si>
    <r>
      <rPr>
        <sz val="16"/>
        <color theme="1"/>
        <rFont val="Symbol"/>
        <charset val="2"/>
      </rPr>
      <t>·</t>
    </r>
    <r>
      <rPr>
        <sz val="16"/>
        <color theme="1"/>
        <rFont val="Times New Roman"/>
        <charset val="134"/>
      </rPr>
      <t>      Privacy needed (e.g., breastfeeding)</t>
    </r>
  </si>
  <si>
    <r>
      <rPr>
        <sz val="16"/>
        <color theme="1"/>
        <rFont val="Symbol"/>
        <charset val="2"/>
      </rPr>
      <t>·</t>
    </r>
    <r>
      <rPr>
        <sz val="16"/>
        <color theme="1"/>
        <rFont val="Times New Roman"/>
        <charset val="134"/>
      </rPr>
      <t>      Toilets</t>
    </r>
  </si>
  <si>
    <r>
      <rPr>
        <sz val="16"/>
        <color theme="1"/>
        <rFont val="Symbol"/>
        <charset val="2"/>
      </rPr>
      <t>·</t>
    </r>
    <r>
      <rPr>
        <sz val="16"/>
        <color theme="1"/>
        <rFont val="Times New Roman"/>
        <charset val="134"/>
      </rPr>
      <t xml:space="preserve">      Air-conditioned environment </t>
    </r>
  </si>
  <si>
    <r>
      <rPr>
        <sz val="16"/>
        <color theme="1"/>
        <rFont val="Symbol"/>
        <charset val="2"/>
      </rPr>
      <t>·</t>
    </r>
    <r>
      <rPr>
        <sz val="16"/>
        <color theme="1"/>
        <rFont val="Times New Roman"/>
        <charset val="134"/>
      </rPr>
      <t>      AV media, with display of public and health information</t>
    </r>
  </si>
  <si>
    <r>
      <rPr>
        <sz val="16"/>
        <color theme="1"/>
        <rFont val="Symbol"/>
        <charset val="2"/>
      </rPr>
      <t>·</t>
    </r>
    <r>
      <rPr>
        <sz val="16"/>
        <color theme="1"/>
        <rFont val="Times New Roman"/>
        <charset val="134"/>
      </rPr>
      <t>      Vending machines</t>
    </r>
  </si>
  <si>
    <t>SMCS.36</t>
  </si>
  <si>
    <t xml:space="preserve"> Emergency department has documented policies, procedures, pathways, and guidelines, and applicable laws and regulations to guide the care of patients. 
</t>
  </si>
  <si>
    <t>Total Measures: 9</t>
  </si>
  <si>
    <t>SMCS.36.a</t>
  </si>
  <si>
    <t xml:space="preserve">ED has clearly documented policies and procedures that are consistent with the hospital and emergency department scope of services. </t>
  </si>
  <si>
    <t>SMCS.36.b</t>
  </si>
  <si>
    <t xml:space="preserve">The ED policies, procedures, and guidelines are prepared by the emergency department multidisciplinary team including the ED head, nurse leader. </t>
  </si>
  <si>
    <t>SMCS.36.c</t>
  </si>
  <si>
    <t>The policies address the handling of medico-legal cases, such as cases such as alcohol and narcotic abuse and criminal acts.</t>
  </si>
  <si>
    <t>SMCS.36.d</t>
  </si>
  <si>
    <t xml:space="preserve">The policies address the management of suspected victims of abuse, neglect, and domestic violence.  </t>
  </si>
  <si>
    <t>SMCS.36.e</t>
  </si>
  <si>
    <t>The policies address the management of poisoning, multi-trauma, acute coronary syndrome, VTE, stroke, sepsis, acute pain, etc.</t>
  </si>
  <si>
    <t>SMCS.36.f</t>
  </si>
  <si>
    <t>The policies guide the triage of patients.</t>
  </si>
  <si>
    <t>SMCS.36.g</t>
  </si>
  <si>
    <t>The ED documented policies and procedures guide the management of patients found dead on arrival at the hospital.</t>
  </si>
  <si>
    <t>SMCS.36.h</t>
  </si>
  <si>
    <t>ED staff are all familiar and trained with policies and procedures.</t>
  </si>
  <si>
    <t>SMCS.36.i</t>
  </si>
  <si>
    <t xml:space="preserve">The department/ unit conducts a regular audit to assess compliance and well implantation of the guidelines and policies. </t>
  </si>
  <si>
    <t>SMCS.37</t>
  </si>
  <si>
    <t xml:space="preserve">The ED has effective ambulance services.  </t>
  </si>
  <si>
    <t>Total Measures: 10</t>
  </si>
  <si>
    <t>SMCS.37.a</t>
  </si>
  <si>
    <t>ED has adequate access and space for the ambulance(s).</t>
  </si>
  <si>
    <t>SMCS.37.b</t>
  </si>
  <si>
    <t xml:space="preserve">ED has full supervision and responsibility for the ambulance services. </t>
  </si>
  <si>
    <t>SMCS.37.c</t>
  </si>
  <si>
    <t>The ambulance adheres to the national rules and regulations</t>
  </si>
  <si>
    <t>SMCS.37.d</t>
  </si>
  <si>
    <t>The ambulance is operated by trained personnel in BLS.</t>
  </si>
  <si>
    <t>SMCS.37.e</t>
  </si>
  <si>
    <t>The ED has a clear written protocol for communication between ambulance and the hospital, for receiving or transferring patients.</t>
  </si>
  <si>
    <t>SMCS.37.f</t>
  </si>
  <si>
    <t>The ambulance is fully equipped and has enough supply, to be ready for transfer of patients all the time.</t>
  </si>
  <si>
    <t>SMCS.37.g</t>
  </si>
  <si>
    <t xml:space="preserve">Ambulance is equipped with basic life support equipment for both adult and pediatric patients, and medications.  </t>
  </si>
  <si>
    <t>SMCS.37.h</t>
  </si>
  <si>
    <t xml:space="preserve">Ambulance equipment and medications are checked on a daily basis using standardized checklist. </t>
  </si>
  <si>
    <t>SMCS.37.i</t>
  </si>
  <si>
    <t xml:space="preserve">Ambulances maintenance is conducted on regular predefined schedule, and documented.   </t>
  </si>
  <si>
    <t>SMCS.37.j</t>
  </si>
  <si>
    <t>Emergency department leader ensures there is adherence to infection control policy, in running vehicle and maintaining equipment cleaning, ensuring there is a regular schedule for cleaning with assigned personnel.</t>
  </si>
  <si>
    <t>SMCS: 38</t>
  </si>
  <si>
    <t xml:space="preserve">Emergency department has adequate resources and space to support the provision of safe care to patients.  </t>
  </si>
  <si>
    <t>Total Measures: 12</t>
  </si>
  <si>
    <t>SMCS.38.a</t>
  </si>
  <si>
    <t>The ED is equipped with all necessary equipment, resources and medications suitable to types of services provided.</t>
  </si>
  <si>
    <t>SMCS.38.b</t>
  </si>
  <si>
    <t>The ED resuscitation room that is easily accessible from the ED entrance and physically located in close proximity to OT, ICU and radiology</t>
  </si>
  <si>
    <t>SMCS.38.c</t>
  </si>
  <si>
    <t xml:space="preserve">Resuscitation/trauma rooms have sufficient space to perform resuscitation </t>
  </si>
  <si>
    <t>SMCS.38.d</t>
  </si>
  <si>
    <t>The ED has treatment area assigned for high acuity patients.</t>
  </si>
  <si>
    <t>SMCS.38.e</t>
  </si>
  <si>
    <t>The ED has a treatment area assigned for low acuity patients.</t>
  </si>
  <si>
    <t>SMCS.38.f</t>
  </si>
  <si>
    <t>The ED has a treatment area assigned for pediatric patients.</t>
  </si>
  <si>
    <t>SMCS.38.g</t>
  </si>
  <si>
    <t>The ED has a treatment area assigned for GYN assessment.</t>
  </si>
  <si>
    <t>SMCS.38.h</t>
  </si>
  <si>
    <r>
      <rPr>
        <sz val="16"/>
        <color theme="1"/>
        <rFont val="Times New Roman"/>
        <charset val="134"/>
      </rPr>
      <t>The resuscitation trolley is located in the center of the resuscitation area and has even spaces around it and the surrounding space that ensures 360° access to all parts of the patient for procedures</t>
    </r>
    <r>
      <rPr>
        <b/>
        <sz val="16"/>
        <color rgb="FF0E101A"/>
        <rFont val="Times New Roman"/>
        <charset val="134"/>
      </rPr>
      <t>. </t>
    </r>
  </si>
  <si>
    <t>SMCS.38.i</t>
  </si>
  <si>
    <t>There is specialized equipment necessary for management of ophthalmology, ENT, and dental emergency cases.</t>
  </si>
  <si>
    <t>SMCS.38.j</t>
  </si>
  <si>
    <t>ED has specific facility to ensure patient privacy and safety are maintained in all locations.</t>
  </si>
  <si>
    <t>SMCS.38.k</t>
  </si>
  <si>
    <t>All bed locations have direct access and easily observed by ED staff.</t>
  </si>
  <si>
    <t>SMCS.38.l</t>
  </si>
  <si>
    <t xml:space="preserve">ED has regular process of checking supply stock and equipment. </t>
  </si>
  <si>
    <t>SMCS.39</t>
  </si>
  <si>
    <t xml:space="preserve">Emergency department implements standardized effective triage system to prioritize patients. </t>
  </si>
  <si>
    <t>Total Measures: 4</t>
  </si>
  <si>
    <t>SMCS.39.a</t>
  </si>
  <si>
    <t xml:space="preserve">The ED has a clear written guide on triage system to categorize patients and identify those with emergent care needs. </t>
  </si>
  <si>
    <t>SMCS.39.b</t>
  </si>
  <si>
    <t>ED has a structured training program to ensure all staff are aware about the system</t>
  </si>
  <si>
    <t>SMCS.39.c</t>
  </si>
  <si>
    <t xml:space="preserve">ED staff ensure patients with urgent needs are provided with appropriate care on timely manner. </t>
  </si>
  <si>
    <t>SMCS.39.d</t>
  </si>
  <si>
    <t>There is a  regular quality audit system to  monitor the right implementation of triaging system, such as under triage and over triage are promptly addressed and corrected.</t>
  </si>
  <si>
    <r>
      <rPr>
        <b/>
        <sz val="16"/>
        <color theme="1"/>
        <rFont val="Times New Roman"/>
        <charset val="134"/>
      </rPr>
      <t>SMCS.40</t>
    </r>
    <r>
      <rPr>
        <sz val="16"/>
        <color theme="1"/>
        <rFont val="Times New Roman"/>
        <charset val="134"/>
      </rPr>
      <t xml:space="preserve">  </t>
    </r>
  </si>
  <si>
    <t xml:space="preserve">Emergency department laboratory and imaging tests are completed and results are communicated on a timely manner. </t>
  </si>
  <si>
    <t>SMCS.40.a</t>
  </si>
  <si>
    <t xml:space="preserve">ED has laboratory and radiology diagnostic services available all days and times. </t>
  </si>
  <si>
    <t>SMCS.40.b</t>
  </si>
  <si>
    <t xml:space="preserve">Laboratory and diagnostic imaging results are available to the ED staff within identified timeframe. </t>
  </si>
  <si>
    <t>SMCS.40.c</t>
  </si>
  <si>
    <t xml:space="preserve">There is regular scheduled audit to ensure investigation results are communicated on time to ensure appropriate, timely patient management. </t>
  </si>
  <si>
    <t xml:space="preserve">SMCS. 41 </t>
  </si>
  <si>
    <t xml:space="preserve">The ED has measures to ensure safe redirection of low acuity cases. </t>
  </si>
  <si>
    <t>SMCS.41.a</t>
  </si>
  <si>
    <t>There is a clear written guide for the Redirection process</t>
  </si>
  <si>
    <t>SMCS.41.b</t>
  </si>
  <si>
    <t>Staff are educated on patient Redirection</t>
  </si>
  <si>
    <t>SMCS.41.c</t>
  </si>
  <si>
    <t>Redirection is done for low acuity patients (triage levels 4 and 5 only)</t>
  </si>
  <si>
    <t>SMCS.41.d</t>
  </si>
  <si>
    <t xml:space="preserve">There is a process to regularly review patient redirection </t>
  </si>
  <si>
    <t xml:space="preserve">SMCS.42  </t>
  </si>
  <si>
    <t xml:space="preserve">ED has written scheduling guide for emergency physicians and nurses. </t>
  </si>
  <si>
    <t>Total Measures:  10</t>
  </si>
  <si>
    <t>SMCS.42.a</t>
  </si>
  <si>
    <t>ED has duty roster for clinical staff (doctors and nurses), as per the institution policy for each team, covering number of hours, number of shifts, on-call, annual leave plan, training activities schedule, approved by head of department.</t>
  </si>
  <si>
    <t>SMCS.42.b</t>
  </si>
  <si>
    <t>There are clockwise shift rotation patterns (mornings, afternoons, nights).</t>
  </si>
  <si>
    <t>SMCS.42.c</t>
  </si>
  <si>
    <t xml:space="preserve">The staff schedule is easily accessible to all ED staff </t>
  </si>
  <si>
    <t>SMCS.42.d</t>
  </si>
  <si>
    <t>There is a minimum of 10 hours between finishing and resuming clinical duties.</t>
  </si>
  <si>
    <t>SMCS.42.e</t>
  </si>
  <si>
    <t xml:space="preserve">Leadership conducts regular random audit to assess compliance with the duty roster guidelines. </t>
  </si>
  <si>
    <t>SMCS.42.f</t>
  </si>
  <si>
    <t>There are regular 48-hour minimum periods off work with no less than a total of 60 hours per fortnight.</t>
  </si>
  <si>
    <t>SMCS.42.g</t>
  </si>
  <si>
    <t>On-call is limited to no more than two overnight on-calls per seven days with neither being consecutive.</t>
  </si>
  <si>
    <t>SMCS.42.h</t>
  </si>
  <si>
    <t>There is a proper skill mix staffing for each shift as per ED needs.</t>
  </si>
  <si>
    <t>SMCS.42.i</t>
  </si>
  <si>
    <t>There is provision for adequate annual leave, conference leave and professional development leave.</t>
  </si>
  <si>
    <t>SMCS.42.j</t>
  </si>
  <si>
    <t xml:space="preserve">There is a regular predefined schedule to monitor the compliance to the policy. </t>
  </si>
  <si>
    <t>SMCS.43</t>
  </si>
  <si>
    <t>The hospital has a Clinical Pharmacist available to attend the ED during each shift.</t>
  </si>
  <si>
    <t>SMCS.43.a</t>
  </si>
  <si>
    <t>The hospital has a qualified (by education, and experience) clinical pharmacist to cover the ED.</t>
  </si>
  <si>
    <t>SMCS.43.b</t>
  </si>
  <si>
    <t>The clinical pharmacist is available to respond to calls from the ED during peak volume hours, 24 hours a day.</t>
  </si>
  <si>
    <t>SMCS.43.c</t>
  </si>
  <si>
    <t>The clinical pharmacist has a clear job description in the ED</t>
  </si>
  <si>
    <t>SMCS.43.d</t>
  </si>
  <si>
    <t>The clinical pharmacist is part of a multidisciplinary team.</t>
  </si>
  <si>
    <t>SMCS. 44</t>
  </si>
  <si>
    <t xml:space="preserve">Emergency Department has performance quality indicators that are monitored regularly. </t>
  </si>
  <si>
    <t>SMCS.44.a</t>
  </si>
  <si>
    <t>The ED has a set of key quality indicators to monitor and report on regular basis, including but is not limited to: ER Triage to physician time, average length of stay of patients, etc.</t>
  </si>
  <si>
    <t>SMCS.44.b</t>
  </si>
  <si>
    <t>These quality indicators are well known by all ED staff.</t>
  </si>
  <si>
    <t xml:space="preserve">ED conducts audit to assess performance on a regular predetermined interval, and set plan of actions accordingly.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</si>
</sst>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6"/>
      <color rgb="FF0000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8"/>
      <color rgb="FFC00000"/>
      <name val="Times New Roman"/>
      <charset val="134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name val="Times New Roman"/>
      <charset val="134"/>
    </font>
    <font>
      <sz val="16"/>
      <color theme="1"/>
      <name val="Symbol"/>
      <charset val="2"/>
    </font>
    <font>
      <b/>
      <sz val="16"/>
      <color rgb="FF0E101A"/>
      <name val="Times New Roman"/>
      <charset val="134"/>
    </font>
    <font>
      <sz val="16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4" fillId="5" borderId="6" xfId="1" applyFont="1" applyBorder="1" applyAlignment="1">
      <alignment horizontal="center" vertical="center"/>
    </xf>
    <xf numFmtId="0" fontId="4" fillId="5" borderId="7" xfId="1" applyFont="1" applyBorder="1" applyAlignment="1">
      <alignment horizontal="center" vertical="center"/>
    </xf>
    <xf numFmtId="0" fontId="4" fillId="5" borderId="8" xfId="1" applyFont="1" applyBorder="1" applyAlignment="1">
      <alignment horizontal="center" vertical="center"/>
    </xf>
    <xf numFmtId="0" fontId="5" fillId="6" borderId="9" xfId="0" applyFont="1" applyFill="1" applyBorder="1" applyAlignment="1">
      <alignment vertical="center"/>
    </xf>
    <xf numFmtId="0" fontId="6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vertical="center" wrapText="1"/>
    </xf>
    <xf numFmtId="0" fontId="9" fillId="9" borderId="10" xfId="0" applyFont="1" applyFill="1" applyBorder="1" applyAlignment="1">
      <alignment horizontal="left" vertical="center"/>
    </xf>
    <xf numFmtId="0" fontId="9" fillId="9" borderId="12" xfId="0" applyFont="1" applyFill="1" applyBorder="1" applyAlignment="1">
      <alignment horizontal="left" vertical="center"/>
    </xf>
    <xf numFmtId="0" fontId="9" fillId="9" borderId="14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Protection="1">
      <protection locked="0"/>
    </xf>
    <xf numFmtId="0" fontId="10" fillId="0" borderId="13" xfId="0" applyFont="1" applyBorder="1" applyProtection="1">
      <protection locked="0"/>
    </xf>
    <xf numFmtId="0" fontId="8" fillId="9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8" fillId="9" borderId="13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8" fillId="10" borderId="9" xfId="0" applyFont="1" applyFill="1" applyBorder="1" applyAlignment="1">
      <alignment vertical="center" wrapText="1"/>
    </xf>
    <xf numFmtId="0" fontId="10" fillId="11" borderId="9" xfId="0" applyFont="1" applyFill="1" applyBorder="1" applyAlignment="1">
      <alignment vertical="center" wrapText="1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0" borderId="9" xfId="0" applyFont="1" applyBorder="1" applyAlignment="1">
      <alignment wrapText="1"/>
    </xf>
    <xf numFmtId="0" fontId="12" fillId="0" borderId="9" xfId="0" applyFont="1" applyBorder="1" applyAlignment="1">
      <alignment horizontal="left" vertical="center" wrapText="1" indent="1"/>
    </xf>
    <xf numFmtId="0" fontId="8" fillId="9" borderId="13" xfId="0" applyFont="1" applyFill="1" applyBorder="1" applyAlignment="1">
      <alignment horizontal="left" vertical="top" wrapText="1"/>
    </xf>
    <xf numFmtId="0" fontId="10" fillId="12" borderId="9" xfId="0" applyFont="1" applyFill="1" applyBorder="1" applyAlignment="1">
      <alignment vertical="center" wrapText="1"/>
    </xf>
    <xf numFmtId="0" fontId="8" fillId="9" borderId="9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horizontal="left" vertical="center" wrapText="1"/>
    </xf>
    <xf numFmtId="0" fontId="10" fillId="12" borderId="13" xfId="0" applyFont="1" applyFill="1" applyBorder="1" applyAlignment="1">
      <alignment horizontal="left" vertical="center" wrapText="1"/>
    </xf>
    <xf numFmtId="0" fontId="10" fillId="0" borderId="13" xfId="0" applyFont="1" applyBorder="1" applyAlignment="1" applyProtection="1">
      <alignment horizontal="center"/>
      <protection locked="0"/>
    </xf>
    <xf numFmtId="0" fontId="14" fillId="0" borderId="0" xfId="0" applyFont="1"/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F111"/>
  <sheetViews>
    <sheetView tabSelected="1" topLeftCell="A99" workbookViewId="0">
      <selection activeCell="C110" sqref="C110"/>
    </sheetView>
  </sheetViews>
  <sheetFormatPr defaultColWidth="8.8984375" defaultRowHeight="21"/>
  <cols>
    <col min="1" max="1" width="13.8984375" style="46" customWidth="1"/>
    <col min="2" max="2" width="97.5" style="46" customWidth="1"/>
    <col min="3" max="3" width="16.59765625" style="47" customWidth="1"/>
    <col min="4" max="5" width="70.59765625" style="47" customWidth="1"/>
  </cols>
  <sheetData>
    <row r="1" spans="1:32" ht="30" customHeight="1">
      <c r="A1" s="1" t="s">
        <v>0</v>
      </c>
      <c r="B1" s="2"/>
      <c r="C1" s="2"/>
      <c r="D1" s="2"/>
      <c r="E1" s="3"/>
    </row>
    <row r="2" spans="1:32" ht="33.75" customHeight="1">
      <c r="A2" s="4" t="s">
        <v>1</v>
      </c>
      <c r="B2" s="5"/>
      <c r="C2" s="5"/>
      <c r="D2" s="5"/>
      <c r="E2" s="6"/>
    </row>
    <row r="3" spans="1:32" ht="21" customHeight="1">
      <c r="A3" s="7" t="s">
        <v>2</v>
      </c>
      <c r="B3" s="8"/>
      <c r="C3" s="8"/>
      <c r="D3" s="8"/>
      <c r="E3" s="9"/>
    </row>
    <row r="4" spans="1:32" ht="31.5" customHeight="1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SUM(AA7:AA110)+SUM(AB7:AB110)*0.5</f>
        <v>0</v>
      </c>
      <c r="AB4">
        <f>COUNT(AA7:AA110)-SUM(AB7:AD110)</f>
        <v>90</v>
      </c>
    </row>
    <row r="5" spans="1:32" ht="37.5" customHeight="1" thickTop="1" thickBot="1">
      <c r="A5" s="15" t="s">
        <v>3</v>
      </c>
      <c r="B5" s="15" t="s">
        <v>4</v>
      </c>
      <c r="C5" s="16" t="s">
        <v>5</v>
      </c>
      <c r="D5" s="17" t="s">
        <v>6</v>
      </c>
      <c r="E5" s="17" t="s">
        <v>7</v>
      </c>
    </row>
    <row r="6" spans="1:32" ht="48.75" customHeight="1" thickTop="1" thickBot="1">
      <c r="A6" s="18" t="s">
        <v>8</v>
      </c>
      <c r="B6" s="19"/>
      <c r="C6" s="19"/>
      <c r="D6" s="19"/>
      <c r="E6" s="20"/>
    </row>
    <row r="7" spans="1:32" ht="43.5" customHeight="1" thickTop="1" thickBot="1">
      <c r="A7" s="21" t="s">
        <v>9</v>
      </c>
      <c r="B7" s="21" t="s">
        <v>10</v>
      </c>
      <c r="C7" s="22" t="s">
        <v>11</v>
      </c>
      <c r="D7" s="23"/>
      <c r="E7" s="24" t="str">
        <f>"Quotation: "&amp;ROUND((AE7/AF7)*100,2)&amp;"%"</f>
        <v>Quotation: 0%</v>
      </c>
      <c r="AE7">
        <f>SUM(AA8:AA10)+SUM(AB8:AB10)*0.5</f>
        <v>0</v>
      </c>
      <c r="AF7">
        <f>COUNT(AA8:AA10)-SUM(AD8:AD10)</f>
        <v>3</v>
      </c>
    </row>
    <row r="8" spans="1:32" ht="42" customHeight="1" thickTop="1" thickBot="1">
      <c r="A8" s="25" t="s">
        <v>12</v>
      </c>
      <c r="B8" s="26" t="s">
        <v>13</v>
      </c>
      <c r="C8" s="27"/>
      <c r="D8" s="28"/>
      <c r="E8" s="28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42" customHeight="1" thickTop="1" thickBot="1">
      <c r="A9" s="25" t="s">
        <v>14</v>
      </c>
      <c r="B9" s="26" t="s">
        <v>15</v>
      </c>
      <c r="C9" s="27"/>
      <c r="D9" s="28"/>
      <c r="E9" s="28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42" customHeight="1" thickTop="1" thickBot="1">
      <c r="A10" s="25" t="s">
        <v>16</v>
      </c>
      <c r="B10" s="26" t="s">
        <v>17</v>
      </c>
      <c r="C10" s="27"/>
      <c r="D10" s="28"/>
      <c r="E10" s="28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50.25" customHeight="1" thickTop="1" thickBot="1">
      <c r="A11" s="21" t="s">
        <v>18</v>
      </c>
      <c r="B11" s="29" t="s">
        <v>19</v>
      </c>
      <c r="C11" s="22" t="s">
        <v>20</v>
      </c>
      <c r="D11" s="23"/>
      <c r="E11" s="24" t="str">
        <f>"Quotation: "&amp;ROUND((AE11/AF11)*100,2)&amp;"%"</f>
        <v>Quotation: 0%</v>
      </c>
      <c r="AE11">
        <f>SUM(AA12:AA17)+SUM(AB12:AB17)*0.5</f>
        <v>0</v>
      </c>
      <c r="AF11">
        <f>COUNT(AA12:AA17)-SUM(AD12:AD17)</f>
        <v>6</v>
      </c>
    </row>
    <row r="12" spans="1:32" ht="42" customHeight="1" thickTop="1" thickBot="1">
      <c r="A12" s="25" t="s">
        <v>21</v>
      </c>
      <c r="B12" s="30" t="s">
        <v>22</v>
      </c>
      <c r="C12" s="27"/>
      <c r="D12" s="28"/>
      <c r="E12" s="28"/>
      <c r="AA12">
        <f t="shared" ref="AA12:AA17" si="0">IF(C12="Met",1,0)</f>
        <v>0</v>
      </c>
      <c r="AB12">
        <f t="shared" ref="AB12:AB17" si="1">IF(C12="Partially Met",1,0)</f>
        <v>0</v>
      </c>
      <c r="AC12">
        <f t="shared" ref="AC12:AC17" si="2">IF(C12="UnMet",1,0)</f>
        <v>0</v>
      </c>
      <c r="AD12">
        <f t="shared" ref="AD12:AD17" si="3">IF(C12="Not Applicable",1,0)</f>
        <v>0</v>
      </c>
    </row>
    <row r="13" spans="1:32" ht="42" customHeight="1" thickTop="1" thickBot="1">
      <c r="A13" s="25" t="s">
        <v>23</v>
      </c>
      <c r="B13" s="30" t="s">
        <v>24</v>
      </c>
      <c r="C13" s="27"/>
      <c r="D13" s="28"/>
      <c r="E13" s="28"/>
      <c r="AA13">
        <f t="shared" si="0"/>
        <v>0</v>
      </c>
      <c r="AB13">
        <f t="shared" si="1"/>
        <v>0</v>
      </c>
      <c r="AC13">
        <f t="shared" si="2"/>
        <v>0</v>
      </c>
      <c r="AD13">
        <f t="shared" si="3"/>
        <v>0</v>
      </c>
    </row>
    <row r="14" spans="1:32" ht="42" customHeight="1" thickTop="1" thickBot="1">
      <c r="A14" s="25" t="s">
        <v>25</v>
      </c>
      <c r="B14" s="30" t="s">
        <v>26</v>
      </c>
      <c r="C14" s="27"/>
      <c r="D14" s="28"/>
      <c r="E14" s="28"/>
      <c r="AA14">
        <f t="shared" si="0"/>
        <v>0</v>
      </c>
      <c r="AB14">
        <f t="shared" si="1"/>
        <v>0</v>
      </c>
      <c r="AC14">
        <f t="shared" si="2"/>
        <v>0</v>
      </c>
      <c r="AD14">
        <f t="shared" si="3"/>
        <v>0</v>
      </c>
    </row>
    <row r="15" spans="1:32" ht="42" customHeight="1" thickTop="1" thickBot="1">
      <c r="A15" s="25" t="s">
        <v>27</v>
      </c>
      <c r="B15" s="30" t="s">
        <v>28</v>
      </c>
      <c r="C15" s="27"/>
      <c r="D15" s="28"/>
      <c r="E15" s="28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42" customHeight="1" thickTop="1" thickBot="1">
      <c r="A16" s="25" t="s">
        <v>29</v>
      </c>
      <c r="B16" s="30" t="s">
        <v>30</v>
      </c>
      <c r="C16" s="27"/>
      <c r="D16" s="28"/>
      <c r="E16" s="28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42" customHeight="1" thickTop="1" thickBot="1">
      <c r="A17" s="25" t="s">
        <v>31</v>
      </c>
      <c r="B17" s="30" t="s">
        <v>32</v>
      </c>
      <c r="C17" s="27"/>
      <c r="D17" s="28"/>
      <c r="E17" s="28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46.5" customHeight="1" thickTop="1" thickBot="1">
      <c r="A18" s="21" t="s">
        <v>33</v>
      </c>
      <c r="B18" s="31" t="s">
        <v>34</v>
      </c>
      <c r="C18" s="22" t="s">
        <v>35</v>
      </c>
      <c r="D18" s="23"/>
      <c r="E18" s="24" t="str">
        <f>"Quotation: "&amp;ROUND((AE18/AF18)*100,2)&amp;"%"</f>
        <v>Quotation: 0%</v>
      </c>
      <c r="AE18">
        <f>SUM(AA19:AA42)+SUM(AB19:AB42)*0.5</f>
        <v>0</v>
      </c>
      <c r="AF18">
        <f>COUNT(AA19:AA42)-SUM(AD19:AD42)</f>
        <v>22</v>
      </c>
    </row>
    <row r="19" spans="1:32" ht="43.2" thickTop="1" thickBot="1">
      <c r="A19" s="25" t="s">
        <v>36</v>
      </c>
      <c r="B19" s="30" t="s">
        <v>37</v>
      </c>
      <c r="C19" s="27"/>
      <c r="D19" s="28"/>
      <c r="E19" s="28"/>
      <c r="AA19">
        <f>IF(C19="Met",1,0)</f>
        <v>0</v>
      </c>
      <c r="AB19">
        <f>IF(C19="Partially Met",1,0)</f>
        <v>0</v>
      </c>
      <c r="AC19">
        <f>IF(C19="UnMet",1,0)</f>
        <v>0</v>
      </c>
      <c r="AD19">
        <f>IF(C19="Not Applicable",1,0)</f>
        <v>0</v>
      </c>
    </row>
    <row r="20" spans="1:32" ht="42" customHeight="1" thickTop="1" thickBot="1">
      <c r="A20" s="25" t="s">
        <v>38</v>
      </c>
      <c r="B20" s="30" t="s">
        <v>39</v>
      </c>
      <c r="C20" s="27"/>
      <c r="D20" s="28"/>
      <c r="E20" s="28"/>
      <c r="AA20">
        <f>IF(C20="Met",1,0)</f>
        <v>0</v>
      </c>
      <c r="AB20">
        <f>IF(C20="Partially Met",1,0)</f>
        <v>0</v>
      </c>
      <c r="AC20">
        <f>IF(C20="UnMet",1,0)</f>
        <v>0</v>
      </c>
      <c r="AD20">
        <f>IF(C20="Not Applicable",1,0)</f>
        <v>0</v>
      </c>
    </row>
    <row r="21" spans="1:32" ht="42" customHeight="1" thickTop="1" thickBot="1">
      <c r="A21" s="25" t="s">
        <v>40</v>
      </c>
      <c r="B21" s="32" t="s">
        <v>41</v>
      </c>
      <c r="C21" s="27"/>
      <c r="D21" s="28"/>
      <c r="E21" s="28"/>
      <c r="AA21">
        <f>IF(C21="Met",1,0)</f>
        <v>0</v>
      </c>
      <c r="AB21">
        <f>IF(C21="Partially Met",1,0)</f>
        <v>0</v>
      </c>
      <c r="AC21">
        <f>IF(C21="UnMet",1,0)</f>
        <v>0</v>
      </c>
      <c r="AD21">
        <f>IF(C21="Not Applicable",1,0)</f>
        <v>0</v>
      </c>
    </row>
    <row r="22" spans="1:32" ht="42" customHeight="1" thickTop="1" thickBot="1">
      <c r="A22" s="25" t="s">
        <v>42</v>
      </c>
      <c r="B22" s="30" t="s">
        <v>43</v>
      </c>
      <c r="C22" s="27"/>
      <c r="D22" s="28"/>
      <c r="E22" s="28"/>
      <c r="AA22">
        <f>IF(C22="Met",1,0)</f>
        <v>0</v>
      </c>
      <c r="AB22">
        <f>IF(C22="Partially Met",1,0)</f>
        <v>0</v>
      </c>
      <c r="AC22">
        <f>IF(C22="UnMet",1,0)</f>
        <v>0</v>
      </c>
      <c r="AD22">
        <f>IF(C22="Not Applicable",1,0)</f>
        <v>0</v>
      </c>
    </row>
    <row r="23" spans="1:32" ht="20.25" customHeight="1" thickTop="1" thickBot="1">
      <c r="A23" s="33" t="s">
        <v>44</v>
      </c>
      <c r="B23" s="34" t="s">
        <v>45</v>
      </c>
      <c r="C23" s="35"/>
      <c r="D23" s="36"/>
      <c r="E23" s="37"/>
    </row>
    <row r="24" spans="1:32" ht="26.25" customHeight="1" thickTop="1" thickBot="1">
      <c r="A24" s="33"/>
      <c r="B24" s="38" t="s">
        <v>46</v>
      </c>
      <c r="C24" s="27"/>
      <c r="D24" s="28"/>
      <c r="E24" s="28"/>
      <c r="AA24">
        <f t="shared" ref="AA24:AA36" si="4">IF(C24="Met",1,0)</f>
        <v>0</v>
      </c>
      <c r="AB24">
        <f t="shared" ref="AB24:AB36" si="5">IF(C24="Partially Met",1,0)</f>
        <v>0</v>
      </c>
      <c r="AC24">
        <f t="shared" ref="AC24:AC36" si="6">IF(C24="UnMet",1,0)</f>
        <v>0</v>
      </c>
      <c r="AD24">
        <f t="shared" ref="AD24:AD36" si="7">IF(C24="Not Applicable",1,0)</f>
        <v>0</v>
      </c>
    </row>
    <row r="25" spans="1:32" ht="25.5" customHeight="1" thickTop="1" thickBot="1">
      <c r="A25" s="33"/>
      <c r="B25" s="26" t="s">
        <v>47</v>
      </c>
      <c r="C25" s="27"/>
      <c r="D25" s="28"/>
      <c r="E25" s="28"/>
      <c r="AA25">
        <f t="shared" si="4"/>
        <v>0</v>
      </c>
      <c r="AB25">
        <f t="shared" si="5"/>
        <v>0</v>
      </c>
      <c r="AC25">
        <f t="shared" si="6"/>
        <v>0</v>
      </c>
      <c r="AD25">
        <f t="shared" si="7"/>
        <v>0</v>
      </c>
    </row>
    <row r="26" spans="1:32" ht="24.75" customHeight="1" thickTop="1" thickBot="1">
      <c r="A26" s="33"/>
      <c r="B26" s="26" t="s">
        <v>48</v>
      </c>
      <c r="C26" s="27"/>
      <c r="D26" s="28"/>
      <c r="E26" s="28"/>
      <c r="AA26">
        <f t="shared" si="4"/>
        <v>0</v>
      </c>
      <c r="AB26">
        <f t="shared" si="5"/>
        <v>0</v>
      </c>
      <c r="AC26">
        <f t="shared" si="6"/>
        <v>0</v>
      </c>
      <c r="AD26">
        <f t="shared" si="7"/>
        <v>0</v>
      </c>
    </row>
    <row r="27" spans="1:32" ht="27.75" customHeight="1" thickTop="1" thickBot="1">
      <c r="A27" s="33"/>
      <c r="B27" s="26" t="s">
        <v>49</v>
      </c>
      <c r="C27" s="27"/>
      <c r="D27" s="28"/>
      <c r="E27" s="28"/>
      <c r="AA27">
        <f t="shared" si="4"/>
        <v>0</v>
      </c>
      <c r="AB27">
        <f t="shared" si="5"/>
        <v>0</v>
      </c>
      <c r="AC27">
        <f t="shared" si="6"/>
        <v>0</v>
      </c>
      <c r="AD27">
        <f t="shared" si="7"/>
        <v>0</v>
      </c>
    </row>
    <row r="28" spans="1:32" ht="24" customHeight="1" thickTop="1" thickBot="1">
      <c r="A28" s="33"/>
      <c r="B28" s="26" t="s">
        <v>50</v>
      </c>
      <c r="C28" s="27"/>
      <c r="D28" s="28"/>
      <c r="E28" s="28"/>
      <c r="AA28">
        <f t="shared" si="4"/>
        <v>0</v>
      </c>
      <c r="AB28">
        <f t="shared" si="5"/>
        <v>0</v>
      </c>
      <c r="AC28">
        <f t="shared" si="6"/>
        <v>0</v>
      </c>
      <c r="AD28">
        <f t="shared" si="7"/>
        <v>0</v>
      </c>
    </row>
    <row r="29" spans="1:32" ht="27" customHeight="1" thickTop="1" thickBot="1">
      <c r="A29" s="33"/>
      <c r="B29" s="26" t="s">
        <v>51</v>
      </c>
      <c r="C29" s="27"/>
      <c r="D29" s="28"/>
      <c r="E29" s="28"/>
      <c r="AA29">
        <f t="shared" si="4"/>
        <v>0</v>
      </c>
      <c r="AB29">
        <f t="shared" si="5"/>
        <v>0</v>
      </c>
      <c r="AC29">
        <f t="shared" si="6"/>
        <v>0</v>
      </c>
      <c r="AD29">
        <f t="shared" si="7"/>
        <v>0</v>
      </c>
    </row>
    <row r="30" spans="1:32" ht="26.25" customHeight="1" thickTop="1" thickBot="1">
      <c r="A30" s="33"/>
      <c r="B30" s="26" t="s">
        <v>52</v>
      </c>
      <c r="C30" s="27"/>
      <c r="D30" s="28"/>
      <c r="E30" s="28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25.5" customHeight="1" thickTop="1" thickBot="1">
      <c r="A31" s="33"/>
      <c r="B31" s="26" t="s">
        <v>53</v>
      </c>
      <c r="C31" s="27"/>
      <c r="D31" s="28"/>
      <c r="E31" s="28"/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2" ht="22.2" thickTop="1" thickBot="1">
      <c r="A32" s="25" t="s">
        <v>54</v>
      </c>
      <c r="B32" s="30" t="s">
        <v>55</v>
      </c>
      <c r="C32" s="27"/>
      <c r="D32" s="28"/>
      <c r="E32" s="28"/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</row>
    <row r="33" spans="1:32" ht="42" customHeight="1" thickTop="1" thickBot="1">
      <c r="A33" s="25" t="s">
        <v>56</v>
      </c>
      <c r="B33" s="30" t="s">
        <v>57</v>
      </c>
      <c r="C33" s="27"/>
      <c r="D33" s="28"/>
      <c r="E33" s="28"/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</row>
    <row r="34" spans="1:32" ht="42" customHeight="1" thickTop="1" thickBot="1">
      <c r="A34" s="25" t="s">
        <v>58</v>
      </c>
      <c r="B34" s="30" t="s">
        <v>59</v>
      </c>
      <c r="C34" s="27"/>
      <c r="D34" s="28"/>
      <c r="E34" s="28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43.2" thickTop="1" thickBot="1">
      <c r="A35" s="25" t="s">
        <v>60</v>
      </c>
      <c r="B35" s="30" t="s">
        <v>61</v>
      </c>
      <c r="C35" s="27"/>
      <c r="D35" s="28"/>
      <c r="E35" s="28"/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</row>
    <row r="36" spans="1:32" ht="42" customHeight="1" thickTop="1" thickBot="1">
      <c r="A36" s="25" t="s">
        <v>62</v>
      </c>
      <c r="B36" s="30" t="s">
        <v>63</v>
      </c>
      <c r="C36" s="27"/>
      <c r="D36" s="28"/>
      <c r="E36" s="28"/>
      <c r="AA36">
        <f t="shared" si="4"/>
        <v>0</v>
      </c>
      <c r="AB36">
        <f t="shared" si="5"/>
        <v>0</v>
      </c>
      <c r="AC36">
        <f t="shared" si="6"/>
        <v>0</v>
      </c>
      <c r="AD36">
        <f t="shared" si="7"/>
        <v>0</v>
      </c>
    </row>
    <row r="37" spans="1:32" ht="22.2" thickTop="1" thickBot="1">
      <c r="A37" s="33" t="s">
        <v>64</v>
      </c>
      <c r="B37" s="34" t="s">
        <v>65</v>
      </c>
      <c r="C37" s="35"/>
      <c r="D37" s="36"/>
      <c r="E37" s="37"/>
    </row>
    <row r="38" spans="1:32" ht="22.2" thickTop="1" thickBot="1">
      <c r="A38" s="33"/>
      <c r="B38" s="39" t="s">
        <v>66</v>
      </c>
      <c r="C38" s="27"/>
      <c r="D38" s="28"/>
      <c r="E38" s="28"/>
      <c r="AA38">
        <f>IF(C38="Met",1,0)</f>
        <v>0</v>
      </c>
      <c r="AB38">
        <f>IF(C38="Partially Met",1,0)</f>
        <v>0</v>
      </c>
      <c r="AC38">
        <f>IF(C38="UnMet",1,0)</f>
        <v>0</v>
      </c>
      <c r="AD38">
        <f>IF(C38="Not Applicable",1,0)</f>
        <v>0</v>
      </c>
    </row>
    <row r="39" spans="1:32" ht="22.2" thickTop="1" thickBot="1">
      <c r="A39" s="33"/>
      <c r="B39" s="39" t="s">
        <v>67</v>
      </c>
      <c r="C39" s="27"/>
      <c r="D39" s="28"/>
      <c r="E39" s="28"/>
      <c r="AA39">
        <f>IF(C39="Met",1,0)</f>
        <v>0</v>
      </c>
      <c r="AB39">
        <f>IF(C39="Partially Met",1,0)</f>
        <v>0</v>
      </c>
      <c r="AC39">
        <f>IF(C39="UnMet",1,0)</f>
        <v>0</v>
      </c>
      <c r="AD39">
        <f>IF(C39="Not Applicable",1,0)</f>
        <v>0</v>
      </c>
    </row>
    <row r="40" spans="1:32" ht="22.2" thickTop="1" thickBot="1">
      <c r="A40" s="33"/>
      <c r="B40" s="39" t="s">
        <v>68</v>
      </c>
      <c r="C40" s="27"/>
      <c r="D40" s="28"/>
      <c r="E40" s="28"/>
      <c r="AA40">
        <f>IF(C40="Met",1,0)</f>
        <v>0</v>
      </c>
      <c r="AB40">
        <f>IF(C40="Partially Met",1,0)</f>
        <v>0</v>
      </c>
      <c r="AC40">
        <f>IF(C40="UnMet",1,0)</f>
        <v>0</v>
      </c>
      <c r="AD40">
        <f>IF(C40="Not Applicable",1,0)</f>
        <v>0</v>
      </c>
    </row>
    <row r="41" spans="1:32" ht="22.2" thickTop="1" thickBot="1">
      <c r="A41" s="33"/>
      <c r="B41" s="39" t="s">
        <v>69</v>
      </c>
      <c r="C41" s="27"/>
      <c r="D41" s="28"/>
      <c r="E41" s="28"/>
      <c r="AA41">
        <f>IF(C41="Met",1,0)</f>
        <v>0</v>
      </c>
      <c r="AB41">
        <f>IF(C41="Partially Met",1,0)</f>
        <v>0</v>
      </c>
      <c r="AC41">
        <f>IF(C41="UnMet",1,0)</f>
        <v>0</v>
      </c>
      <c r="AD41">
        <f>IF(C41="Not Applicable",1,0)</f>
        <v>0</v>
      </c>
    </row>
    <row r="42" spans="1:32" ht="22.2" thickTop="1" thickBot="1">
      <c r="A42" s="33"/>
      <c r="B42" s="39" t="s">
        <v>70</v>
      </c>
      <c r="C42" s="27"/>
      <c r="D42" s="28"/>
      <c r="E42" s="28"/>
      <c r="AA42">
        <f>IF(C42="Met",1,0)</f>
        <v>0</v>
      </c>
      <c r="AB42">
        <f>IF(C42="Partially Met",1,0)</f>
        <v>0</v>
      </c>
      <c r="AC42">
        <f>IF(C42="UnMet",1,0)</f>
        <v>0</v>
      </c>
      <c r="AD42">
        <f>IF(C42="Not Applicable",1,0)</f>
        <v>0</v>
      </c>
    </row>
    <row r="43" spans="1:32" ht="62.25" customHeight="1" thickTop="1" thickBot="1">
      <c r="A43" s="21" t="s">
        <v>71</v>
      </c>
      <c r="B43" s="40" t="s">
        <v>72</v>
      </c>
      <c r="C43" s="22" t="s">
        <v>73</v>
      </c>
      <c r="D43" s="23"/>
      <c r="E43" s="24" t="str">
        <f>"Quotation: "&amp;ROUND((AE43/AF43)*100,2)&amp;"%"</f>
        <v>Quotation: 0%</v>
      </c>
      <c r="AE43">
        <f>SUM(AA44:AA52)+SUM(AB44:AB52)*0.5</f>
        <v>0</v>
      </c>
      <c r="AF43">
        <f>COUNT(AA44:AA52)-SUM(AD44:AD52)</f>
        <v>9</v>
      </c>
    </row>
    <row r="44" spans="1:32" ht="42" customHeight="1" thickTop="1" thickBot="1">
      <c r="A44" s="25" t="s">
        <v>74</v>
      </c>
      <c r="B44" s="26" t="s">
        <v>75</v>
      </c>
      <c r="C44" s="27"/>
      <c r="D44" s="28"/>
      <c r="E44" s="28"/>
      <c r="AA44">
        <f t="shared" ref="AA44:AA52" si="8">IF(C44="Met",1,0)</f>
        <v>0</v>
      </c>
      <c r="AB44">
        <f t="shared" ref="AB44:AB52" si="9">IF(C44="Partially Met",1,0)</f>
        <v>0</v>
      </c>
      <c r="AC44">
        <f t="shared" ref="AC44:AC52" si="10">IF(C44="UnMet",1,0)</f>
        <v>0</v>
      </c>
      <c r="AD44">
        <f t="shared" ref="AD44:AD52" si="11">IF(C44="Not Applicable",1,0)</f>
        <v>0</v>
      </c>
    </row>
    <row r="45" spans="1:32" ht="42" customHeight="1" thickTop="1" thickBot="1">
      <c r="A45" s="25" t="s">
        <v>76</v>
      </c>
      <c r="B45" s="26" t="s">
        <v>77</v>
      </c>
      <c r="C45" s="27"/>
      <c r="D45" s="28"/>
      <c r="E45" s="28"/>
      <c r="AA45">
        <f t="shared" si="8"/>
        <v>0</v>
      </c>
      <c r="AB45">
        <f t="shared" si="9"/>
        <v>0</v>
      </c>
      <c r="AC45">
        <f t="shared" si="10"/>
        <v>0</v>
      </c>
      <c r="AD45">
        <f t="shared" si="11"/>
        <v>0</v>
      </c>
    </row>
    <row r="46" spans="1:32" ht="42" customHeight="1" thickTop="1" thickBot="1">
      <c r="A46" s="25" t="s">
        <v>78</v>
      </c>
      <c r="B46" s="30" t="s">
        <v>79</v>
      </c>
      <c r="C46" s="27"/>
      <c r="D46" s="28"/>
      <c r="E46" s="28"/>
      <c r="AA46">
        <f t="shared" si="8"/>
        <v>0</v>
      </c>
      <c r="AB46">
        <f t="shared" si="9"/>
        <v>0</v>
      </c>
      <c r="AC46">
        <f t="shared" si="10"/>
        <v>0</v>
      </c>
      <c r="AD46">
        <f t="shared" si="11"/>
        <v>0</v>
      </c>
    </row>
    <row r="47" spans="1:32" ht="42" customHeight="1" thickTop="1" thickBot="1">
      <c r="A47" s="25" t="s">
        <v>80</v>
      </c>
      <c r="B47" s="26" t="s">
        <v>81</v>
      </c>
      <c r="C47" s="27"/>
      <c r="D47" s="28"/>
      <c r="E47" s="28"/>
      <c r="AA47">
        <f t="shared" si="8"/>
        <v>0</v>
      </c>
      <c r="AB47">
        <f t="shared" si="9"/>
        <v>0</v>
      </c>
      <c r="AC47">
        <f t="shared" si="10"/>
        <v>0</v>
      </c>
      <c r="AD47">
        <f t="shared" si="11"/>
        <v>0</v>
      </c>
    </row>
    <row r="48" spans="1:32" ht="42" customHeight="1" thickTop="1" thickBot="1">
      <c r="A48" s="25" t="s">
        <v>82</v>
      </c>
      <c r="B48" s="26" t="s">
        <v>83</v>
      </c>
      <c r="C48" s="27"/>
      <c r="D48" s="28"/>
      <c r="E48" s="28"/>
      <c r="AA48">
        <f t="shared" si="8"/>
        <v>0</v>
      </c>
      <c r="AB48">
        <f t="shared" si="9"/>
        <v>0</v>
      </c>
      <c r="AC48">
        <f t="shared" si="10"/>
        <v>0</v>
      </c>
      <c r="AD48">
        <f t="shared" si="11"/>
        <v>0</v>
      </c>
    </row>
    <row r="49" spans="1:32" ht="35.25" customHeight="1" thickTop="1" thickBot="1">
      <c r="A49" s="25" t="s">
        <v>84</v>
      </c>
      <c r="B49" s="26" t="s">
        <v>85</v>
      </c>
      <c r="C49" s="27"/>
      <c r="D49" s="28"/>
      <c r="E49" s="28"/>
      <c r="AA49">
        <f t="shared" si="8"/>
        <v>0</v>
      </c>
      <c r="AB49">
        <f t="shared" si="9"/>
        <v>0</v>
      </c>
      <c r="AC49">
        <f t="shared" si="10"/>
        <v>0</v>
      </c>
      <c r="AD49">
        <f t="shared" si="11"/>
        <v>0</v>
      </c>
    </row>
    <row r="50" spans="1:32" ht="42" customHeight="1" thickTop="1" thickBot="1">
      <c r="A50" s="25" t="s">
        <v>86</v>
      </c>
      <c r="B50" s="26" t="s">
        <v>87</v>
      </c>
      <c r="C50" s="27"/>
      <c r="D50" s="28"/>
      <c r="E50" s="28"/>
      <c r="AA50">
        <f t="shared" si="8"/>
        <v>0</v>
      </c>
      <c r="AB50">
        <f t="shared" si="9"/>
        <v>0</v>
      </c>
      <c r="AC50">
        <f t="shared" si="10"/>
        <v>0</v>
      </c>
      <c r="AD50">
        <f t="shared" si="11"/>
        <v>0</v>
      </c>
    </row>
    <row r="51" spans="1:32" ht="42" customHeight="1" thickTop="1" thickBot="1">
      <c r="A51" s="25" t="s">
        <v>88</v>
      </c>
      <c r="B51" s="26" t="s">
        <v>89</v>
      </c>
      <c r="C51" s="27"/>
      <c r="D51" s="28"/>
      <c r="E51" s="28"/>
      <c r="AA51">
        <f t="shared" si="8"/>
        <v>0</v>
      </c>
      <c r="AB51">
        <f t="shared" si="9"/>
        <v>0</v>
      </c>
      <c r="AC51">
        <f t="shared" si="10"/>
        <v>0</v>
      </c>
      <c r="AD51">
        <f t="shared" si="11"/>
        <v>0</v>
      </c>
    </row>
    <row r="52" spans="1:32" ht="42" customHeight="1" thickTop="1" thickBot="1">
      <c r="A52" s="25" t="s">
        <v>90</v>
      </c>
      <c r="B52" s="26" t="s">
        <v>91</v>
      </c>
      <c r="C52" s="27"/>
      <c r="D52" s="28"/>
      <c r="E52" s="28"/>
      <c r="AA52">
        <f t="shared" si="8"/>
        <v>0</v>
      </c>
      <c r="AB52">
        <f t="shared" si="9"/>
        <v>0</v>
      </c>
      <c r="AC52">
        <f t="shared" si="10"/>
        <v>0</v>
      </c>
      <c r="AD52">
        <f t="shared" si="11"/>
        <v>0</v>
      </c>
    </row>
    <row r="53" spans="1:32" ht="45" customHeight="1" thickTop="1" thickBot="1">
      <c r="A53" s="21" t="s">
        <v>92</v>
      </c>
      <c r="B53" s="21" t="s">
        <v>93</v>
      </c>
      <c r="C53" s="22" t="s">
        <v>94</v>
      </c>
      <c r="D53" s="23"/>
      <c r="E53" s="24" t="str">
        <f>"Quotation: "&amp;ROUND((AE53/AF53)*100,2)&amp;"%"</f>
        <v>Quotation: 0%</v>
      </c>
      <c r="AE53">
        <f>SUM(AA54:AA63)+SUM(AB54:AB63)*0.5</f>
        <v>0</v>
      </c>
      <c r="AF53">
        <f>COUNT(AA54:AA63)-SUM(AD54:AD63)</f>
        <v>10</v>
      </c>
    </row>
    <row r="54" spans="1:32" ht="42" customHeight="1" thickTop="1" thickBot="1">
      <c r="A54" s="25" t="s">
        <v>95</v>
      </c>
      <c r="B54" s="26" t="s">
        <v>96</v>
      </c>
      <c r="C54" s="27"/>
      <c r="D54" s="28"/>
      <c r="E54" s="28"/>
      <c r="AA54">
        <f t="shared" ref="AA54:AA63" si="12">IF(C54="Met",1,0)</f>
        <v>0</v>
      </c>
      <c r="AB54">
        <f t="shared" ref="AB54:AB63" si="13">IF(C54="Partially Met",1,0)</f>
        <v>0</v>
      </c>
      <c r="AC54">
        <f t="shared" ref="AC54:AC63" si="14">IF(C54="UnMet",1,0)</f>
        <v>0</v>
      </c>
      <c r="AD54">
        <f t="shared" ref="AD54:AD63" si="15">IF(C54="Not Applicable",1,0)</f>
        <v>0</v>
      </c>
    </row>
    <row r="55" spans="1:32" ht="42" customHeight="1" thickTop="1" thickBot="1">
      <c r="A55" s="25" t="s">
        <v>97</v>
      </c>
      <c r="B55" s="26" t="s">
        <v>98</v>
      </c>
      <c r="C55" s="27"/>
      <c r="D55" s="28"/>
      <c r="E55" s="28"/>
      <c r="AA55">
        <f t="shared" si="12"/>
        <v>0</v>
      </c>
      <c r="AB55">
        <f t="shared" si="13"/>
        <v>0</v>
      </c>
      <c r="AC55">
        <f t="shared" si="14"/>
        <v>0</v>
      </c>
      <c r="AD55">
        <f t="shared" si="15"/>
        <v>0</v>
      </c>
    </row>
    <row r="56" spans="1:32" ht="42" customHeight="1" thickTop="1" thickBot="1">
      <c r="A56" s="25" t="s">
        <v>99</v>
      </c>
      <c r="B56" s="26" t="s">
        <v>100</v>
      </c>
      <c r="C56" s="27"/>
      <c r="D56" s="28"/>
      <c r="E56" s="28"/>
      <c r="AA56">
        <f t="shared" si="12"/>
        <v>0</v>
      </c>
      <c r="AB56">
        <f t="shared" si="13"/>
        <v>0</v>
      </c>
      <c r="AC56">
        <f t="shared" si="14"/>
        <v>0</v>
      </c>
      <c r="AD56">
        <f t="shared" si="15"/>
        <v>0</v>
      </c>
    </row>
    <row r="57" spans="1:32" ht="42" customHeight="1" thickTop="1" thickBot="1">
      <c r="A57" s="25" t="s">
        <v>101</v>
      </c>
      <c r="B57" s="26" t="s">
        <v>102</v>
      </c>
      <c r="C57" s="27"/>
      <c r="D57" s="28"/>
      <c r="E57" s="28"/>
      <c r="AA57">
        <f t="shared" si="12"/>
        <v>0</v>
      </c>
      <c r="AB57">
        <f t="shared" si="13"/>
        <v>0</v>
      </c>
      <c r="AC57">
        <f t="shared" si="14"/>
        <v>0</v>
      </c>
      <c r="AD57">
        <f t="shared" si="15"/>
        <v>0</v>
      </c>
    </row>
    <row r="58" spans="1:32" ht="42" customHeight="1" thickTop="1" thickBot="1">
      <c r="A58" s="25" t="s">
        <v>103</v>
      </c>
      <c r="B58" s="26" t="s">
        <v>104</v>
      </c>
      <c r="C58" s="27"/>
      <c r="D58" s="28"/>
      <c r="E58" s="28"/>
      <c r="AA58">
        <f t="shared" si="12"/>
        <v>0</v>
      </c>
      <c r="AB58">
        <f t="shared" si="13"/>
        <v>0</v>
      </c>
      <c r="AC58">
        <f t="shared" si="14"/>
        <v>0</v>
      </c>
      <c r="AD58">
        <f t="shared" si="15"/>
        <v>0</v>
      </c>
    </row>
    <row r="59" spans="1:32" ht="42" customHeight="1" thickTop="1" thickBot="1">
      <c r="A59" s="25" t="s">
        <v>105</v>
      </c>
      <c r="B59" s="26" t="s">
        <v>106</v>
      </c>
      <c r="C59" s="27"/>
      <c r="D59" s="28"/>
      <c r="E59" s="28"/>
      <c r="AA59">
        <f t="shared" si="12"/>
        <v>0</v>
      </c>
      <c r="AB59">
        <f t="shared" si="13"/>
        <v>0</v>
      </c>
      <c r="AC59">
        <f t="shared" si="14"/>
        <v>0</v>
      </c>
      <c r="AD59">
        <f t="shared" si="15"/>
        <v>0</v>
      </c>
    </row>
    <row r="60" spans="1:32" ht="42" customHeight="1" thickTop="1" thickBot="1">
      <c r="A60" s="25" t="s">
        <v>107</v>
      </c>
      <c r="B60" s="26" t="s">
        <v>108</v>
      </c>
      <c r="C60" s="27"/>
      <c r="D60" s="28"/>
      <c r="E60" s="28"/>
      <c r="AA60">
        <f t="shared" si="12"/>
        <v>0</v>
      </c>
      <c r="AB60">
        <f t="shared" si="13"/>
        <v>0</v>
      </c>
      <c r="AC60">
        <f t="shared" si="14"/>
        <v>0</v>
      </c>
      <c r="AD60">
        <f t="shared" si="15"/>
        <v>0</v>
      </c>
    </row>
    <row r="61" spans="1:32" ht="42" customHeight="1" thickTop="1" thickBot="1">
      <c r="A61" s="25" t="s">
        <v>109</v>
      </c>
      <c r="B61" s="26" t="s">
        <v>110</v>
      </c>
      <c r="C61" s="27"/>
      <c r="D61" s="28"/>
      <c r="E61" s="28"/>
      <c r="AA61">
        <f t="shared" si="12"/>
        <v>0</v>
      </c>
      <c r="AB61">
        <f t="shared" si="13"/>
        <v>0</v>
      </c>
      <c r="AC61">
        <f t="shared" si="14"/>
        <v>0</v>
      </c>
      <c r="AD61">
        <f t="shared" si="15"/>
        <v>0</v>
      </c>
    </row>
    <row r="62" spans="1:32" ht="40.5" customHeight="1" thickTop="1" thickBot="1">
      <c r="A62" s="25" t="s">
        <v>111</v>
      </c>
      <c r="B62" s="26" t="s">
        <v>112</v>
      </c>
      <c r="C62" s="27"/>
      <c r="D62" s="28"/>
      <c r="E62" s="28"/>
      <c r="AA62">
        <f t="shared" si="12"/>
        <v>0</v>
      </c>
      <c r="AB62">
        <f t="shared" si="13"/>
        <v>0</v>
      </c>
      <c r="AC62">
        <f t="shared" si="14"/>
        <v>0</v>
      </c>
      <c r="AD62">
        <f t="shared" si="15"/>
        <v>0</v>
      </c>
    </row>
    <row r="63" spans="1:32" ht="64.2" thickTop="1" thickBot="1">
      <c r="A63" s="25" t="s">
        <v>113</v>
      </c>
      <c r="B63" s="26" t="s">
        <v>114</v>
      </c>
      <c r="C63" s="27"/>
      <c r="D63" s="28"/>
      <c r="E63" s="28"/>
      <c r="AA63">
        <f t="shared" si="12"/>
        <v>0</v>
      </c>
      <c r="AB63">
        <f t="shared" si="13"/>
        <v>0</v>
      </c>
      <c r="AC63">
        <f t="shared" si="14"/>
        <v>0</v>
      </c>
      <c r="AD63">
        <f t="shared" si="15"/>
        <v>0</v>
      </c>
    </row>
    <row r="64" spans="1:32" ht="63" customHeight="1" thickTop="1" thickBot="1">
      <c r="A64" s="21" t="s">
        <v>115</v>
      </c>
      <c r="B64" s="31" t="s">
        <v>116</v>
      </c>
      <c r="C64" s="22" t="s">
        <v>117</v>
      </c>
      <c r="D64" s="23"/>
      <c r="E64" s="24" t="str">
        <f>"Quotation: "&amp;ROUND((AE64/AF64)*100,2)&amp;"%"</f>
        <v>Quotation: 0%</v>
      </c>
      <c r="AE64">
        <f>SUM(AA65:AA76)+SUM(AB65:AB76)*0.5</f>
        <v>0</v>
      </c>
      <c r="AF64">
        <f>COUNT(AA65:AA76)-SUM(AD65:AD76)</f>
        <v>12</v>
      </c>
    </row>
    <row r="65" spans="1:32" ht="43.2" thickTop="1" thickBot="1">
      <c r="A65" s="25" t="s">
        <v>118</v>
      </c>
      <c r="B65" s="26" t="s">
        <v>119</v>
      </c>
      <c r="C65" s="27"/>
      <c r="D65" s="28"/>
      <c r="E65" s="28"/>
      <c r="AA65">
        <f t="shared" ref="AA65:AA76" si="16">IF(C65="Met",1,0)</f>
        <v>0</v>
      </c>
      <c r="AB65">
        <f t="shared" ref="AB65:AB76" si="17">IF(C65="Partially Met",1,0)</f>
        <v>0</v>
      </c>
      <c r="AC65">
        <f t="shared" ref="AC65:AC76" si="18">IF(C65="UnMet",1,0)</f>
        <v>0</v>
      </c>
      <c r="AD65">
        <f t="shared" ref="AD65:AD76" si="19">IF(C65="Not Applicable",1,0)</f>
        <v>0</v>
      </c>
    </row>
    <row r="66" spans="1:32" ht="43.2" thickTop="1" thickBot="1">
      <c r="A66" s="25" t="s">
        <v>120</v>
      </c>
      <c r="B66" s="26" t="s">
        <v>121</v>
      </c>
      <c r="C66" s="27"/>
      <c r="D66" s="28"/>
      <c r="E66" s="28"/>
      <c r="AA66">
        <f t="shared" si="16"/>
        <v>0</v>
      </c>
      <c r="AB66">
        <f t="shared" si="17"/>
        <v>0</v>
      </c>
      <c r="AC66">
        <f t="shared" si="18"/>
        <v>0</v>
      </c>
      <c r="AD66">
        <f t="shared" si="19"/>
        <v>0</v>
      </c>
    </row>
    <row r="67" spans="1:32" ht="27" customHeight="1" thickTop="1" thickBot="1">
      <c r="A67" s="25" t="s">
        <v>122</v>
      </c>
      <c r="B67" s="26" t="s">
        <v>123</v>
      </c>
      <c r="C67" s="27"/>
      <c r="D67" s="28"/>
      <c r="E67" s="28"/>
      <c r="AA67">
        <f t="shared" si="16"/>
        <v>0</v>
      </c>
      <c r="AB67">
        <f t="shared" si="17"/>
        <v>0</v>
      </c>
      <c r="AC67">
        <f t="shared" si="18"/>
        <v>0</v>
      </c>
      <c r="AD67">
        <f t="shared" si="19"/>
        <v>0</v>
      </c>
    </row>
    <row r="68" spans="1:32" ht="27.75" customHeight="1" thickTop="1" thickBot="1">
      <c r="A68" s="25" t="s">
        <v>124</v>
      </c>
      <c r="B68" s="26" t="s">
        <v>125</v>
      </c>
      <c r="C68" s="27"/>
      <c r="D68" s="28"/>
      <c r="E68" s="28"/>
      <c r="AA68">
        <f t="shared" si="16"/>
        <v>0</v>
      </c>
      <c r="AB68">
        <f t="shared" si="17"/>
        <v>0</v>
      </c>
      <c r="AC68">
        <f t="shared" si="18"/>
        <v>0</v>
      </c>
      <c r="AD68">
        <f t="shared" si="19"/>
        <v>0</v>
      </c>
    </row>
    <row r="69" spans="1:32" ht="27" customHeight="1" thickTop="1" thickBot="1">
      <c r="A69" s="25" t="s">
        <v>126</v>
      </c>
      <c r="B69" s="26" t="s">
        <v>127</v>
      </c>
      <c r="C69" s="27"/>
      <c r="D69" s="28"/>
      <c r="E69" s="28"/>
      <c r="AA69">
        <f t="shared" si="16"/>
        <v>0</v>
      </c>
      <c r="AB69">
        <f t="shared" si="17"/>
        <v>0</v>
      </c>
      <c r="AC69">
        <f t="shared" si="18"/>
        <v>0</v>
      </c>
      <c r="AD69">
        <f t="shared" si="19"/>
        <v>0</v>
      </c>
    </row>
    <row r="70" spans="1:32" ht="29.25" customHeight="1" thickTop="1" thickBot="1">
      <c r="A70" s="25" t="s">
        <v>128</v>
      </c>
      <c r="B70" s="26" t="s">
        <v>129</v>
      </c>
      <c r="C70" s="27"/>
      <c r="D70" s="28"/>
      <c r="E70" s="28"/>
      <c r="AA70">
        <f t="shared" si="16"/>
        <v>0</v>
      </c>
      <c r="AB70">
        <f t="shared" si="17"/>
        <v>0</v>
      </c>
      <c r="AC70">
        <f t="shared" si="18"/>
        <v>0</v>
      </c>
      <c r="AD70">
        <f t="shared" si="19"/>
        <v>0</v>
      </c>
    </row>
    <row r="71" spans="1:32" ht="28.5" customHeight="1" thickTop="1" thickBot="1">
      <c r="A71" s="25" t="s">
        <v>130</v>
      </c>
      <c r="B71" s="26" t="s">
        <v>131</v>
      </c>
      <c r="C71" s="27"/>
      <c r="D71" s="28"/>
      <c r="E71" s="28"/>
      <c r="AA71">
        <f t="shared" si="16"/>
        <v>0</v>
      </c>
      <c r="AB71">
        <f t="shared" si="17"/>
        <v>0</v>
      </c>
      <c r="AC71">
        <f t="shared" si="18"/>
        <v>0</v>
      </c>
      <c r="AD71">
        <f t="shared" si="19"/>
        <v>0</v>
      </c>
    </row>
    <row r="72" spans="1:32" ht="64.2" thickTop="1" thickBot="1">
      <c r="A72" s="25" t="s">
        <v>132</v>
      </c>
      <c r="B72" s="26" t="s">
        <v>133</v>
      </c>
      <c r="C72" s="27"/>
      <c r="D72" s="28"/>
      <c r="E72" s="28"/>
      <c r="AA72">
        <f t="shared" si="16"/>
        <v>0</v>
      </c>
      <c r="AB72">
        <f t="shared" si="17"/>
        <v>0</v>
      </c>
      <c r="AC72">
        <f t="shared" si="18"/>
        <v>0</v>
      </c>
      <c r="AD72">
        <f t="shared" si="19"/>
        <v>0</v>
      </c>
    </row>
    <row r="73" spans="1:32" ht="43.2" thickTop="1" thickBot="1">
      <c r="A73" s="25" t="s">
        <v>134</v>
      </c>
      <c r="B73" s="26" t="s">
        <v>135</v>
      </c>
      <c r="C73" s="27"/>
      <c r="D73" s="28"/>
      <c r="E73" s="28"/>
      <c r="AA73">
        <f t="shared" si="16"/>
        <v>0</v>
      </c>
      <c r="AB73">
        <f t="shared" si="17"/>
        <v>0</v>
      </c>
      <c r="AC73">
        <f t="shared" si="18"/>
        <v>0</v>
      </c>
      <c r="AD73">
        <f t="shared" si="19"/>
        <v>0</v>
      </c>
    </row>
    <row r="74" spans="1:32" ht="38.25" customHeight="1" thickTop="1" thickBot="1">
      <c r="A74" s="25" t="s">
        <v>136</v>
      </c>
      <c r="B74" s="26" t="s">
        <v>137</v>
      </c>
      <c r="C74" s="27"/>
      <c r="D74" s="28"/>
      <c r="E74" s="28"/>
      <c r="AA74">
        <f t="shared" si="16"/>
        <v>0</v>
      </c>
      <c r="AB74">
        <f t="shared" si="17"/>
        <v>0</v>
      </c>
      <c r="AC74">
        <f t="shared" si="18"/>
        <v>0</v>
      </c>
      <c r="AD74">
        <f t="shared" si="19"/>
        <v>0</v>
      </c>
    </row>
    <row r="75" spans="1:32" ht="35.25" customHeight="1" thickTop="1" thickBot="1">
      <c r="A75" s="25" t="s">
        <v>138</v>
      </c>
      <c r="B75" s="26" t="s">
        <v>139</v>
      </c>
      <c r="C75" s="27"/>
      <c r="D75" s="28"/>
      <c r="E75" s="28"/>
      <c r="AA75">
        <f t="shared" si="16"/>
        <v>0</v>
      </c>
      <c r="AB75">
        <f t="shared" si="17"/>
        <v>0</v>
      </c>
      <c r="AC75">
        <f t="shared" si="18"/>
        <v>0</v>
      </c>
      <c r="AD75">
        <f t="shared" si="19"/>
        <v>0</v>
      </c>
    </row>
    <row r="76" spans="1:32" ht="35.25" customHeight="1" thickTop="1" thickBot="1">
      <c r="A76" s="25" t="s">
        <v>140</v>
      </c>
      <c r="B76" s="26" t="s">
        <v>141</v>
      </c>
      <c r="C76" s="27"/>
      <c r="D76" s="28"/>
      <c r="E76" s="28"/>
      <c r="AA76">
        <f t="shared" si="16"/>
        <v>0</v>
      </c>
      <c r="AB76">
        <f t="shared" si="17"/>
        <v>0</v>
      </c>
      <c r="AC76">
        <f t="shared" si="18"/>
        <v>0</v>
      </c>
      <c r="AD76">
        <f t="shared" si="19"/>
        <v>0</v>
      </c>
    </row>
    <row r="77" spans="1:32" ht="58.5" customHeight="1" thickTop="1" thickBot="1">
      <c r="A77" s="21" t="s">
        <v>142</v>
      </c>
      <c r="B77" s="21" t="s">
        <v>143</v>
      </c>
      <c r="C77" s="22" t="s">
        <v>144</v>
      </c>
      <c r="D77" s="23"/>
      <c r="E77" s="24" t="str">
        <f>"Quotation: "&amp;ROUND((AE77/AF77)*100,2)&amp;"%"</f>
        <v>Quotation: 0%</v>
      </c>
      <c r="AE77">
        <f>SUM(AA78:AA81)+SUM(AB78:AB81)*0.5</f>
        <v>0</v>
      </c>
      <c r="AF77">
        <f>COUNT(AA78:AA81)-SUM(AD78:AD81)</f>
        <v>4</v>
      </c>
    </row>
    <row r="78" spans="1:32" ht="42" customHeight="1" thickTop="1" thickBot="1">
      <c r="A78" s="25" t="s">
        <v>145</v>
      </c>
      <c r="B78" s="26" t="s">
        <v>146</v>
      </c>
      <c r="C78" s="27"/>
      <c r="D78" s="28"/>
      <c r="E78" s="28"/>
      <c r="AA78">
        <f>IF(C78="Met",1,0)</f>
        <v>0</v>
      </c>
      <c r="AB78">
        <f>IF(C78="Partially Met",1,0)</f>
        <v>0</v>
      </c>
      <c r="AC78">
        <f>IF(C78="UnMet",1,0)</f>
        <v>0</v>
      </c>
      <c r="AD78">
        <f>IF(C78="Not Applicable",1,0)</f>
        <v>0</v>
      </c>
    </row>
    <row r="79" spans="1:32" ht="42" customHeight="1" thickTop="1" thickBot="1">
      <c r="A79" s="25" t="s">
        <v>147</v>
      </c>
      <c r="B79" s="26" t="s">
        <v>148</v>
      </c>
      <c r="C79" s="27"/>
      <c r="D79" s="28"/>
      <c r="E79" s="28"/>
      <c r="AA79">
        <f>IF(C79="Met",1,0)</f>
        <v>0</v>
      </c>
      <c r="AB79">
        <f>IF(C79="Partially Met",1,0)</f>
        <v>0</v>
      </c>
      <c r="AC79">
        <f>IF(C79="UnMet",1,0)</f>
        <v>0</v>
      </c>
      <c r="AD79">
        <f>IF(C79="Not Applicable",1,0)</f>
        <v>0</v>
      </c>
    </row>
    <row r="80" spans="1:32" ht="42" customHeight="1" thickTop="1" thickBot="1">
      <c r="A80" s="25" t="s">
        <v>149</v>
      </c>
      <c r="B80" s="26" t="s">
        <v>150</v>
      </c>
      <c r="C80" s="27"/>
      <c r="D80" s="28"/>
      <c r="E80" s="28"/>
      <c r="AA80">
        <f>IF(C80="Met",1,0)</f>
        <v>0</v>
      </c>
      <c r="AB80">
        <f>IF(C80="Partially Met",1,0)</f>
        <v>0</v>
      </c>
      <c r="AC80">
        <f>IF(C80="UnMet",1,0)</f>
        <v>0</v>
      </c>
      <c r="AD80">
        <f>IF(C80="Not Applicable",1,0)</f>
        <v>0</v>
      </c>
    </row>
    <row r="81" spans="1:32" ht="42" customHeight="1" thickTop="1" thickBot="1">
      <c r="A81" s="25" t="s">
        <v>151</v>
      </c>
      <c r="B81" s="26" t="s">
        <v>152</v>
      </c>
      <c r="C81" s="27"/>
      <c r="D81" s="28"/>
      <c r="E81" s="28"/>
      <c r="AA81">
        <f>IF(C81="Met",1,0)</f>
        <v>0</v>
      </c>
      <c r="AB81">
        <f>IF(C81="Partially Met",1,0)</f>
        <v>0</v>
      </c>
      <c r="AC81">
        <f>IF(C81="UnMet",1,0)</f>
        <v>0</v>
      </c>
      <c r="AD81">
        <f>IF(C81="Not Applicable",1,0)</f>
        <v>0</v>
      </c>
    </row>
    <row r="82" spans="1:32" ht="75.75" customHeight="1" thickTop="1" thickBot="1">
      <c r="A82" s="21" t="s">
        <v>153</v>
      </c>
      <c r="B82" s="21" t="s">
        <v>154</v>
      </c>
      <c r="C82" s="22" t="s">
        <v>144</v>
      </c>
      <c r="D82" s="23"/>
      <c r="E82" s="24" t="str">
        <f>"Quotation: "&amp;ROUND((AE82/AF82)*100,2)&amp;"%"</f>
        <v>Quotation: 0%</v>
      </c>
      <c r="AE82">
        <f>SUM(AA83:AA85)+SUM(AB83:AB85)*0.5</f>
        <v>0</v>
      </c>
      <c r="AF82">
        <f>COUNT(AA83:AA85)-SUM(AD83:AD85)</f>
        <v>3</v>
      </c>
    </row>
    <row r="83" spans="1:32" ht="42" customHeight="1" thickTop="1" thickBot="1">
      <c r="A83" s="25" t="s">
        <v>155</v>
      </c>
      <c r="B83" s="26" t="s">
        <v>156</v>
      </c>
      <c r="C83" s="27"/>
      <c r="D83" s="28"/>
      <c r="E83" s="28"/>
      <c r="AA83">
        <f>IF(C83="Met",1,0)</f>
        <v>0</v>
      </c>
      <c r="AB83">
        <f>IF(C83="Partially Met",1,0)</f>
        <v>0</v>
      </c>
      <c r="AC83">
        <f>IF(C83="UnMet",1,0)</f>
        <v>0</v>
      </c>
      <c r="AD83">
        <f>IF(C83="Not Applicable",1,0)</f>
        <v>0</v>
      </c>
    </row>
    <row r="84" spans="1:32" ht="42" customHeight="1" thickTop="1" thickBot="1">
      <c r="A84" s="25" t="s">
        <v>157</v>
      </c>
      <c r="B84" s="26" t="s">
        <v>158</v>
      </c>
      <c r="C84" s="27"/>
      <c r="D84" s="28"/>
      <c r="E84" s="28"/>
      <c r="AA84">
        <f>IF(C84="Met",1,0)</f>
        <v>0</v>
      </c>
      <c r="AB84">
        <f>IF(C84="Partially Met",1,0)</f>
        <v>0</v>
      </c>
      <c r="AC84">
        <f>IF(C84="UnMet",1,0)</f>
        <v>0</v>
      </c>
      <c r="AD84">
        <f>IF(C84="Not Applicable",1,0)</f>
        <v>0</v>
      </c>
    </row>
    <row r="85" spans="1:32" ht="42" customHeight="1" thickTop="1" thickBot="1">
      <c r="A85" s="25" t="s">
        <v>159</v>
      </c>
      <c r="B85" s="26" t="s">
        <v>160</v>
      </c>
      <c r="C85" s="27"/>
      <c r="D85" s="28"/>
      <c r="E85" s="28"/>
      <c r="AA85">
        <f>IF(C85="Met",1,0)</f>
        <v>0</v>
      </c>
      <c r="AB85">
        <f>IF(C85="Partially Met",1,0)</f>
        <v>0</v>
      </c>
      <c r="AC85">
        <f>IF(C85="UnMet",1,0)</f>
        <v>0</v>
      </c>
      <c r="AD85">
        <f>IF(C85="Not Applicable",1,0)</f>
        <v>0</v>
      </c>
    </row>
    <row r="86" spans="1:32" ht="55.5" customHeight="1" thickTop="1" thickBot="1">
      <c r="A86" s="21" t="s">
        <v>161</v>
      </c>
      <c r="B86" s="21" t="s">
        <v>162</v>
      </c>
      <c r="C86" s="22" t="s">
        <v>144</v>
      </c>
      <c r="D86" s="23"/>
      <c r="E86" s="24" t="str">
        <f>"Quotation: "&amp;ROUND((AE86/AF86)*100,2)&amp;"%"</f>
        <v>Quotation: 0%</v>
      </c>
      <c r="AE86">
        <f>SUM(AA87:AA90)+SUM(AB87:AB90)*0.5</f>
        <v>0</v>
      </c>
      <c r="AF86">
        <f>COUNT(AA87:AA90)-SUM(AD87:AD90)</f>
        <v>4</v>
      </c>
    </row>
    <row r="87" spans="1:32" ht="30" customHeight="1" thickTop="1" thickBot="1">
      <c r="A87" s="25" t="s">
        <v>163</v>
      </c>
      <c r="B87" s="41" t="s">
        <v>164</v>
      </c>
      <c r="C87" s="27"/>
      <c r="D87" s="28"/>
      <c r="E87" s="28"/>
      <c r="AA87">
        <f>IF(C87="Met",1,0)</f>
        <v>0</v>
      </c>
      <c r="AB87">
        <f>IF(C87="Partially Met",1,0)</f>
        <v>0</v>
      </c>
      <c r="AC87">
        <f>IF(C87="UnMet",1,0)</f>
        <v>0</v>
      </c>
      <c r="AD87">
        <f>IF(C87="Not Applicable",1,0)</f>
        <v>0</v>
      </c>
    </row>
    <row r="88" spans="1:32" ht="30.75" customHeight="1" thickTop="1" thickBot="1">
      <c r="A88" s="25" t="s">
        <v>165</v>
      </c>
      <c r="B88" s="41" t="s">
        <v>166</v>
      </c>
      <c r="C88" s="27"/>
      <c r="D88" s="28"/>
      <c r="E88" s="28"/>
      <c r="AA88">
        <f>IF(C88="Met",1,0)</f>
        <v>0</v>
      </c>
      <c r="AB88">
        <f>IF(C88="Partially Met",1,0)</f>
        <v>0</v>
      </c>
      <c r="AC88">
        <f>IF(C88="UnMet",1,0)</f>
        <v>0</v>
      </c>
      <c r="AD88">
        <f>IF(C88="Not Applicable",1,0)</f>
        <v>0</v>
      </c>
    </row>
    <row r="89" spans="1:32" ht="28.5" customHeight="1" thickTop="1" thickBot="1">
      <c r="A89" s="25" t="s">
        <v>167</v>
      </c>
      <c r="B89" s="41" t="s">
        <v>168</v>
      </c>
      <c r="C89" s="27"/>
      <c r="D89" s="28"/>
      <c r="E89" s="28"/>
      <c r="AA89">
        <f>IF(C89="Met",1,0)</f>
        <v>0</v>
      </c>
      <c r="AB89">
        <f>IF(C89="Partially Met",1,0)</f>
        <v>0</v>
      </c>
      <c r="AC89">
        <f>IF(C89="UnMet",1,0)</f>
        <v>0</v>
      </c>
      <c r="AD89">
        <f>IF(C89="Not Applicable",1,0)</f>
        <v>0</v>
      </c>
    </row>
    <row r="90" spans="1:32" ht="32.25" customHeight="1" thickTop="1" thickBot="1">
      <c r="A90" s="25" t="s">
        <v>169</v>
      </c>
      <c r="B90" s="41" t="s">
        <v>170</v>
      </c>
      <c r="C90" s="27"/>
      <c r="D90" s="28"/>
      <c r="E90" s="28"/>
      <c r="AA90">
        <f>IF(C90="Met",1,0)</f>
        <v>0</v>
      </c>
      <c r="AB90">
        <f>IF(C90="Partially Met",1,0)</f>
        <v>0</v>
      </c>
      <c r="AC90">
        <f>IF(C90="UnMet",1,0)</f>
        <v>0</v>
      </c>
      <c r="AD90">
        <f>IF(C90="Not Applicable",1,0)</f>
        <v>0</v>
      </c>
    </row>
    <row r="91" spans="1:32" ht="40.5" customHeight="1" thickTop="1" thickBot="1">
      <c r="A91" s="21" t="s">
        <v>171</v>
      </c>
      <c r="B91" s="21" t="s">
        <v>172</v>
      </c>
      <c r="C91" s="22" t="s">
        <v>173</v>
      </c>
      <c r="D91" s="23"/>
      <c r="E91" s="24" t="str">
        <f>"Quotation: "&amp;ROUND((AE91/AF91)*100,2)&amp;"%"</f>
        <v>Quotation: 0%</v>
      </c>
      <c r="AE91">
        <f>SUM(AA92:AA101)+SUM(AB92:AB101)*0.5</f>
        <v>0</v>
      </c>
      <c r="AF91">
        <f>COUNT(AA92:AA101)-SUM(AD92:AD101)</f>
        <v>10</v>
      </c>
    </row>
    <row r="92" spans="1:32" ht="64.2" thickTop="1" thickBot="1">
      <c r="A92" s="25" t="s">
        <v>174</v>
      </c>
      <c r="B92" s="41" t="s">
        <v>175</v>
      </c>
      <c r="C92" s="27"/>
      <c r="D92" s="28"/>
      <c r="E92" s="28"/>
      <c r="AA92">
        <f t="shared" ref="AA92:AA101" si="20">IF(C92="Met",1,0)</f>
        <v>0</v>
      </c>
      <c r="AB92">
        <f t="shared" ref="AB92:AB101" si="21">IF(C92="Partially Met",1,0)</f>
        <v>0</v>
      </c>
      <c r="AC92">
        <f t="shared" ref="AC92:AC101" si="22">IF(C92="UnMet",1,0)</f>
        <v>0</v>
      </c>
      <c r="AD92">
        <f t="shared" ref="AD92:AD101" si="23">IF(C92="Not Applicable",1,0)</f>
        <v>0</v>
      </c>
    </row>
    <row r="93" spans="1:32" ht="42" customHeight="1" thickTop="1" thickBot="1">
      <c r="A93" s="25" t="s">
        <v>176</v>
      </c>
      <c r="B93" s="41" t="s">
        <v>177</v>
      </c>
      <c r="C93" s="27"/>
      <c r="D93" s="28"/>
      <c r="E93" s="28"/>
      <c r="AA93">
        <f t="shared" si="20"/>
        <v>0</v>
      </c>
      <c r="AB93">
        <f t="shared" si="21"/>
        <v>0</v>
      </c>
      <c r="AC93">
        <f t="shared" si="22"/>
        <v>0</v>
      </c>
      <c r="AD93">
        <f t="shared" si="23"/>
        <v>0</v>
      </c>
    </row>
    <row r="94" spans="1:32" ht="42" customHeight="1" thickTop="1" thickBot="1">
      <c r="A94" s="25" t="s">
        <v>178</v>
      </c>
      <c r="B94" s="41" t="s">
        <v>179</v>
      </c>
      <c r="C94" s="27"/>
      <c r="D94" s="28"/>
      <c r="E94" s="28"/>
      <c r="AA94">
        <f t="shared" si="20"/>
        <v>0</v>
      </c>
      <c r="AB94">
        <f t="shared" si="21"/>
        <v>0</v>
      </c>
      <c r="AC94">
        <f t="shared" si="22"/>
        <v>0</v>
      </c>
      <c r="AD94">
        <f t="shared" si="23"/>
        <v>0</v>
      </c>
    </row>
    <row r="95" spans="1:32" ht="42" customHeight="1" thickTop="1" thickBot="1">
      <c r="A95" s="25" t="s">
        <v>180</v>
      </c>
      <c r="B95" s="41" t="s">
        <v>181</v>
      </c>
      <c r="C95" s="27"/>
      <c r="D95" s="28"/>
      <c r="E95" s="28"/>
      <c r="AA95">
        <f t="shared" si="20"/>
        <v>0</v>
      </c>
      <c r="AB95">
        <f t="shared" si="21"/>
        <v>0</v>
      </c>
      <c r="AC95">
        <f t="shared" si="22"/>
        <v>0</v>
      </c>
      <c r="AD95">
        <f t="shared" si="23"/>
        <v>0</v>
      </c>
    </row>
    <row r="96" spans="1:32" ht="42" customHeight="1" thickTop="1" thickBot="1">
      <c r="A96" s="25" t="s">
        <v>182</v>
      </c>
      <c r="B96" s="41" t="s">
        <v>183</v>
      </c>
      <c r="C96" s="27"/>
      <c r="D96" s="28"/>
      <c r="E96" s="28"/>
      <c r="AA96">
        <f t="shared" si="20"/>
        <v>0</v>
      </c>
      <c r="AB96">
        <f t="shared" si="21"/>
        <v>0</v>
      </c>
      <c r="AC96">
        <f t="shared" si="22"/>
        <v>0</v>
      </c>
      <c r="AD96">
        <f t="shared" si="23"/>
        <v>0</v>
      </c>
    </row>
    <row r="97" spans="1:32" ht="42" customHeight="1" thickTop="1" thickBot="1">
      <c r="A97" s="25" t="s">
        <v>184</v>
      </c>
      <c r="B97" s="41" t="s">
        <v>185</v>
      </c>
      <c r="C97" s="27"/>
      <c r="D97" s="28"/>
      <c r="E97" s="28"/>
      <c r="AA97">
        <f t="shared" si="20"/>
        <v>0</v>
      </c>
      <c r="AB97">
        <f t="shared" si="21"/>
        <v>0</v>
      </c>
      <c r="AC97">
        <f t="shared" si="22"/>
        <v>0</v>
      </c>
      <c r="AD97">
        <f t="shared" si="23"/>
        <v>0</v>
      </c>
    </row>
    <row r="98" spans="1:32" ht="42" customHeight="1" thickTop="1" thickBot="1">
      <c r="A98" s="25" t="s">
        <v>186</v>
      </c>
      <c r="B98" s="41" t="s">
        <v>187</v>
      </c>
      <c r="C98" s="27"/>
      <c r="D98" s="28"/>
      <c r="E98" s="28"/>
      <c r="AA98">
        <f t="shared" si="20"/>
        <v>0</v>
      </c>
      <c r="AB98">
        <f t="shared" si="21"/>
        <v>0</v>
      </c>
      <c r="AC98">
        <f t="shared" si="22"/>
        <v>0</v>
      </c>
      <c r="AD98">
        <f t="shared" si="23"/>
        <v>0</v>
      </c>
    </row>
    <row r="99" spans="1:32" ht="42" customHeight="1" thickTop="1" thickBot="1">
      <c r="A99" s="25" t="s">
        <v>188</v>
      </c>
      <c r="B99" s="41" t="s">
        <v>189</v>
      </c>
      <c r="C99" s="27"/>
      <c r="D99" s="28"/>
      <c r="E99" s="28"/>
      <c r="AA99">
        <f t="shared" si="20"/>
        <v>0</v>
      </c>
      <c r="AB99">
        <f t="shared" si="21"/>
        <v>0</v>
      </c>
      <c r="AC99">
        <f t="shared" si="22"/>
        <v>0</v>
      </c>
      <c r="AD99">
        <f t="shared" si="23"/>
        <v>0</v>
      </c>
    </row>
    <row r="100" spans="1:32" ht="42" customHeight="1" thickTop="1" thickBot="1">
      <c r="A100" s="25" t="s">
        <v>190</v>
      </c>
      <c r="B100" s="41" t="s">
        <v>191</v>
      </c>
      <c r="C100" s="27"/>
      <c r="D100" s="28"/>
      <c r="E100" s="28"/>
      <c r="AA100">
        <f t="shared" si="20"/>
        <v>0</v>
      </c>
      <c r="AB100">
        <f t="shared" si="21"/>
        <v>0</v>
      </c>
      <c r="AC100">
        <f t="shared" si="22"/>
        <v>0</v>
      </c>
      <c r="AD100">
        <f t="shared" si="23"/>
        <v>0</v>
      </c>
    </row>
    <row r="101" spans="1:32" ht="42" customHeight="1" thickTop="1" thickBot="1">
      <c r="A101" s="25" t="s">
        <v>192</v>
      </c>
      <c r="B101" s="41" t="s">
        <v>193</v>
      </c>
      <c r="C101" s="27"/>
      <c r="D101" s="28"/>
      <c r="E101" s="28"/>
      <c r="AA101">
        <f t="shared" si="20"/>
        <v>0</v>
      </c>
      <c r="AB101">
        <f t="shared" si="21"/>
        <v>0</v>
      </c>
      <c r="AC101">
        <f t="shared" si="22"/>
        <v>0</v>
      </c>
      <c r="AD101">
        <f t="shared" si="23"/>
        <v>0</v>
      </c>
    </row>
    <row r="102" spans="1:32" ht="62.25" customHeight="1" thickTop="1" thickBot="1">
      <c r="A102" s="21" t="s">
        <v>194</v>
      </c>
      <c r="B102" s="42" t="s">
        <v>195</v>
      </c>
      <c r="C102" s="22" t="s">
        <v>144</v>
      </c>
      <c r="D102" s="23"/>
      <c r="E102" s="24" t="str">
        <f>"Quotation: "&amp;ROUND((AE102/AF102)*100,2)&amp;"%"</f>
        <v>Quotation: 0%</v>
      </c>
      <c r="AE102">
        <f>SUM(AA103:AA106)+SUM(AB103:AB106)*0.5</f>
        <v>0</v>
      </c>
      <c r="AF102">
        <f>COUNT(AA103:AA106)-SUM(AD103:AD106)</f>
        <v>4</v>
      </c>
    </row>
    <row r="103" spans="1:32" ht="42" customHeight="1" thickTop="1" thickBot="1">
      <c r="A103" s="25" t="s">
        <v>196</v>
      </c>
      <c r="B103" s="41" t="s">
        <v>197</v>
      </c>
      <c r="C103" s="27"/>
      <c r="D103" s="28"/>
      <c r="E103" s="28"/>
      <c r="AA103">
        <f>IF(C103="Met",1,0)</f>
        <v>0</v>
      </c>
      <c r="AB103">
        <f>IF(C103="Partially Met",1,0)</f>
        <v>0</v>
      </c>
      <c r="AC103">
        <f>IF(C103="UnMet",1,0)</f>
        <v>0</v>
      </c>
      <c r="AD103">
        <f>IF(C103="Not Applicable",1,0)</f>
        <v>0</v>
      </c>
    </row>
    <row r="104" spans="1:32" ht="42" customHeight="1" thickTop="1" thickBot="1">
      <c r="A104" s="25" t="s">
        <v>198</v>
      </c>
      <c r="B104" s="41" t="s">
        <v>199</v>
      </c>
      <c r="C104" s="27"/>
      <c r="D104" s="28"/>
      <c r="E104" s="28"/>
      <c r="AA104">
        <f>IF(C104="Met",1,0)</f>
        <v>0</v>
      </c>
      <c r="AB104">
        <f>IF(C104="Partially Met",1,0)</f>
        <v>0</v>
      </c>
      <c r="AC104">
        <f>IF(C104="UnMet",1,0)</f>
        <v>0</v>
      </c>
      <c r="AD104">
        <f>IF(C104="Not Applicable",1,0)</f>
        <v>0</v>
      </c>
    </row>
    <row r="105" spans="1:32" ht="42" customHeight="1" thickTop="1" thickBot="1">
      <c r="A105" s="25" t="s">
        <v>200</v>
      </c>
      <c r="B105" s="41" t="s">
        <v>201</v>
      </c>
      <c r="C105" s="27"/>
      <c r="D105" s="28"/>
      <c r="E105" s="28"/>
      <c r="AA105">
        <f>IF(C105="Met",1,0)</f>
        <v>0</v>
      </c>
      <c r="AB105">
        <f>IF(C105="Partially Met",1,0)</f>
        <v>0</v>
      </c>
      <c r="AC105">
        <f>IF(C105="UnMet",1,0)</f>
        <v>0</v>
      </c>
      <c r="AD105">
        <f>IF(C105="Not Applicable",1,0)</f>
        <v>0</v>
      </c>
    </row>
    <row r="106" spans="1:32" ht="42" customHeight="1" thickTop="1" thickBot="1">
      <c r="A106" s="25" t="s">
        <v>202</v>
      </c>
      <c r="B106" s="41" t="s">
        <v>203</v>
      </c>
      <c r="C106" s="27"/>
      <c r="D106" s="28"/>
      <c r="E106" s="28"/>
      <c r="AA106">
        <f>IF(C106="Met",1,0)</f>
        <v>0</v>
      </c>
      <c r="AB106">
        <f>IF(C106="Partially Met",1,0)</f>
        <v>0</v>
      </c>
      <c r="AC106">
        <f>IF(C106="UnMet",1,0)</f>
        <v>0</v>
      </c>
      <c r="AD106">
        <f>IF(C106="Not Applicable",1,0)</f>
        <v>0</v>
      </c>
    </row>
    <row r="107" spans="1:32" ht="56.25" customHeight="1" thickTop="1" thickBot="1">
      <c r="A107" s="21" t="s">
        <v>204</v>
      </c>
      <c r="B107" s="29" t="s">
        <v>205</v>
      </c>
      <c r="C107" s="22" t="s">
        <v>11</v>
      </c>
      <c r="D107" s="23"/>
      <c r="E107" s="24" t="str">
        <f>"Quotation: "&amp;ROUND((AE107/AF107)*100,2)&amp;"%"</f>
        <v>Quotation: 0%</v>
      </c>
      <c r="AE107">
        <f>SUM(AA108:AA110)+SUM(AB108:AB110)*0.5</f>
        <v>0</v>
      </c>
      <c r="AF107">
        <f>COUNT(AA108:AA110)-SUM(AD108:AD110)</f>
        <v>3</v>
      </c>
    </row>
    <row r="108" spans="1:32" ht="42" customHeight="1" thickTop="1" thickBot="1">
      <c r="A108" s="25" t="s">
        <v>206</v>
      </c>
      <c r="B108" s="41" t="s">
        <v>207</v>
      </c>
      <c r="C108" s="27"/>
      <c r="D108" s="28"/>
      <c r="E108" s="28"/>
      <c r="AA108">
        <f>IF(C108="Met",1,0)</f>
        <v>0</v>
      </c>
      <c r="AB108">
        <f>IF(C108="Partially Met",1,0)</f>
        <v>0</v>
      </c>
      <c r="AC108">
        <f>IF(C108="UnMet",1,0)</f>
        <v>0</v>
      </c>
      <c r="AD108">
        <f>IF(C108="Not Applicable",1,0)</f>
        <v>0</v>
      </c>
    </row>
    <row r="109" spans="1:32" ht="39.75" customHeight="1" thickTop="1" thickBot="1">
      <c r="A109" s="43" t="s">
        <v>208</v>
      </c>
      <c r="B109" s="44" t="s">
        <v>209</v>
      </c>
      <c r="C109" s="45"/>
      <c r="D109" s="45"/>
      <c r="E109" s="45"/>
      <c r="AA109">
        <f>IF(C109="Met",1,0)</f>
        <v>0</v>
      </c>
      <c r="AB109">
        <f>IF(C109="Partially Met",1,0)</f>
        <v>0</v>
      </c>
      <c r="AC109">
        <f>IF(C109="UnMet",1,0)</f>
        <v>0</v>
      </c>
      <c r="AD109">
        <f>IF(C109="Not Applicable",1,0)</f>
        <v>0</v>
      </c>
    </row>
    <row r="110" spans="1:32" ht="42" customHeight="1" thickTop="1" thickBot="1">
      <c r="A110" s="25" t="s">
        <v>200</v>
      </c>
      <c r="B110" s="41" t="s">
        <v>210</v>
      </c>
      <c r="C110" s="27"/>
      <c r="D110" s="27"/>
      <c r="E110" s="27"/>
      <c r="AA110">
        <f>IF(C110="Met",1,0)</f>
        <v>0</v>
      </c>
      <c r="AB110">
        <f>IF(C110="Partially Met",1,0)</f>
        <v>0</v>
      </c>
      <c r="AC110">
        <f>IF(C110="UnMet",1,0)</f>
        <v>0</v>
      </c>
      <c r="AD110">
        <f>IF(C110="Not Applicable",1,0)</f>
        <v>0</v>
      </c>
    </row>
    <row r="111" spans="1:32" ht="17.25" customHeight="1" thickTop="1"/>
  </sheetData>
  <sheetProtection algorithmName="SHA-512" hashValue="v2ilg2ocra5A+8syStjpSshPpU0upSKsWyyL1fohiwNy/KomK+iG9Qno5rK26tFCpP7GfjuxGD4dfsV9+C1+yA==" saltValue="oFQfx/fMOslI5a4/spY6eQ==" spinCount="100000" sheet="1" objects="1" scenarios="1"/>
  <mergeCells count="22">
    <mergeCell ref="C91:D91"/>
    <mergeCell ref="C102:D102"/>
    <mergeCell ref="C107:D107"/>
    <mergeCell ref="C43:D43"/>
    <mergeCell ref="C53:D53"/>
    <mergeCell ref="C64:D64"/>
    <mergeCell ref="C77:D77"/>
    <mergeCell ref="C82:D82"/>
    <mergeCell ref="C86:D86"/>
    <mergeCell ref="C7:D7"/>
    <mergeCell ref="C11:D11"/>
    <mergeCell ref="C18:D18"/>
    <mergeCell ref="A23:A31"/>
    <mergeCell ref="C23:E23"/>
    <mergeCell ref="A37:A42"/>
    <mergeCell ref="C37:E37"/>
    <mergeCell ref="A1:E1"/>
    <mergeCell ref="A2:E2"/>
    <mergeCell ref="A3:E3"/>
    <mergeCell ref="A4:B4"/>
    <mergeCell ref="C4:E4"/>
    <mergeCell ref="A6:E6"/>
  </mergeCells>
  <dataValidations count="1">
    <dataValidation type="list" showInputMessage="1" showErrorMessage="1" sqref="C8:C10 C12:C17 C19:C22 C24:C36 C38:C42 C44:C52 C54:C63 C65:C76 C78:C81 C83:C85 C87:C90 C92:C101 C103:C106 C108:C110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43" orientation="landscape"/>
  <rowBreaks count="4" manualBreakCount="4">
    <brk id="17" max="5" man="1"/>
    <brk id="42" max="5" man="1"/>
    <brk id="63" max="5" man="1"/>
    <brk id="9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SMCS4</vt:lpstr>
      <vt:lpstr>SMCS4!Print_Area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2025-08-22T13:37:52Z</dcterms:created>
  <dcterms:modified xsi:type="dcterms:W3CDTF">2025-08-22T13:37:52Z</dcterms:modified>
</cp:coreProperties>
</file>